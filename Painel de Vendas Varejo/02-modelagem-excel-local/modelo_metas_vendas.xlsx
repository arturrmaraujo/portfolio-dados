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TAS E PESOS" sheetId="1" state="visible" r:id="rId2"/>
    <sheet name="DIN" sheetId="2" state="visible" r:id="rId3"/>
    <sheet name="RESULTADOS" sheetId="3" state="visible" r:id="rId4"/>
    <sheet name="BASE_VENDAS" sheetId="4" state="visible" r:id="rId5"/>
    <sheet name="LOJA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<sst xmlns="http://schemas.openxmlformats.org/spreadsheetml/2006/main" count="666" uniqueCount="68">
  <si>
    <t xml:space="preserve">METAS MENSAIS POR MARCA (SELL-OUT)</t>
  </si>
  <si>
    <t xml:space="preserve">MATRIZ DE PESOS DE DISTRIBUIÇÃO POR FILIAL (% SHARE PLANEJADO)</t>
  </si>
  <si>
    <t xml:space="preserve">MARCA</t>
  </si>
  <si>
    <t xml:space="preserve">META QTD</t>
  </si>
  <si>
    <t xml:space="preserve">META (R$)</t>
  </si>
  <si>
    <t xml:space="preserve">FIL-02</t>
  </si>
  <si>
    <t xml:space="preserve">FIL-10</t>
  </si>
  <si>
    <t xml:space="preserve">FIL-04</t>
  </si>
  <si>
    <t xml:space="preserve">FIL-08</t>
  </si>
  <si>
    <t xml:space="preserve">FIL-09</t>
  </si>
  <si>
    <t xml:space="preserve">FIL-05</t>
  </si>
  <si>
    <t xml:space="preserve">FIL-06</t>
  </si>
  <si>
    <t xml:space="preserve">FIL-01</t>
  </si>
  <si>
    <t xml:space="preserve">FIL-03</t>
  </si>
  <si>
    <t xml:space="preserve">FIL-07</t>
  </si>
  <si>
    <t xml:space="preserve">FIL-11</t>
  </si>
  <si>
    <t xml:space="preserve">TOTAL PESOS</t>
  </si>
  <si>
    <t xml:space="preserve">MARCA_01 (CARE)</t>
  </si>
  <si>
    <t xml:space="preserve">MARCA_02 (PRO)</t>
  </si>
  <si>
    <t xml:space="preserve">MARCA_03 (DAILY)</t>
  </si>
  <si>
    <t xml:space="preserve">MARCA_04 (DERMO)</t>
  </si>
  <si>
    <t xml:space="preserve">MARCA_05 (ACESSÓRIOS)</t>
  </si>
  <si>
    <t xml:space="preserve">MARCA_06 (IMPORT)</t>
  </si>
  <si>
    <t xml:space="preserve">-</t>
  </si>
  <si>
    <t xml:space="preserve">MARCA_07 (GLOBAL)</t>
  </si>
  <si>
    <t xml:space="preserve">MARCA_08 (LUXURY)</t>
  </si>
  <si>
    <t xml:space="preserve">MARCA_09 (SALON)</t>
  </si>
  <si>
    <t xml:space="preserve">MARCA_10 (TREAT)</t>
  </si>
  <si>
    <t xml:space="preserve">MARCA_11 (MAKEUP)</t>
  </si>
  <si>
    <t xml:space="preserve">MARCA_12 (UTILITIES)</t>
  </si>
  <si>
    <t xml:space="preserve">MARCA_13 (BODY)</t>
  </si>
  <si>
    <t xml:space="preserve">MARCA_14 (DIGITAL)</t>
  </si>
  <si>
    <t xml:space="preserve">MARCA_15 (TECH)</t>
  </si>
  <si>
    <t xml:space="preserve">Total Geral</t>
  </si>
  <si>
    <t xml:space="preserve">VISÃO CONSOLIDADA (TABELAS DINÂMICAS DE DESEMPENHO — FILIAIS &amp; MARCAS)</t>
  </si>
  <si>
    <t xml:space="preserve">LOJA</t>
  </si>
  <si>
    <t xml:space="preserve">REALIZADO (R$)</t>
  </si>
  <si>
    <t xml:space="preserve">% REALIZADO (R$)</t>
  </si>
  <si>
    <t xml:space="preserve">OBJ REALIZADO</t>
  </si>
  <si>
    <t xml:space="preserve">% REALIZADO OBJ</t>
  </si>
  <si>
    <t xml:space="preserve">META/DIA (QTD)</t>
  </si>
  <si>
    <t xml:space="preserve">META/DIA (R$)</t>
  </si>
  <si>
    <t xml:space="preserve">PESO</t>
  </si>
  <si>
    <t xml:space="preserve">META LOJA (R$)</t>
  </si>
  <si>
    <t xml:space="preserve">META LOJA QTD</t>
  </si>
  <si>
    <t xml:space="preserve">%REALIZADO (R$)</t>
  </si>
  <si>
    <t xml:space="preserve">%OBJ REALIZADO</t>
  </si>
  <si>
    <t xml:space="preserve">TENDÊNCIA (R$)</t>
  </si>
  <si>
    <t xml:space="preserve">TENDÊNCIA QTD</t>
  </si>
  <si>
    <t xml:space="preserve">META/DIA</t>
  </si>
  <si>
    <t xml:space="preserve">META/DIA ($)</t>
  </si>
  <si>
    <t xml:space="preserve">DATA RELATÓRIO</t>
  </si>
  <si>
    <t xml:space="preserve">DIAS DO MÊS</t>
  </si>
  <si>
    <t xml:space="preserve">CÓDIGO</t>
  </si>
  <si>
    <t xml:space="preserve">QUANTIDADE</t>
  </si>
  <si>
    <t xml:space="preserve">TOTAL PRECO</t>
  </si>
  <si>
    <t xml:space="preserve">DESCRIÇÃO</t>
  </si>
  <si>
    <t xml:space="preserve">UNIDADE 01 - ZONA SUL (FLAGSHIP)</t>
  </si>
  <si>
    <t xml:space="preserve">UNIDADE 02 - COMÉRCIO CENTRAL I</t>
  </si>
  <si>
    <t xml:space="preserve">UNIDADE 03 - COMÉRCIO CENTRAL II</t>
  </si>
  <si>
    <t xml:space="preserve">UNIDADE 04 - CORREDOR CENTRAL</t>
  </si>
  <si>
    <t xml:space="preserve">UNIDADE 05 - SHOPPING NORTE</t>
  </si>
  <si>
    <t xml:space="preserve">UNIDADE 06 - REGIÃO METROPOLITANA I</t>
  </si>
  <si>
    <t xml:space="preserve">UNIDADE 07 - ZONA NORTE II</t>
  </si>
  <si>
    <t xml:space="preserve">UNIDADE 08 - REGIÃO METROPOLITANA II</t>
  </si>
  <si>
    <t xml:space="preserve">UNIDADE 09 - AVENIDA COMERCIAL</t>
  </si>
  <si>
    <t xml:space="preserve">UNIDADE 10 - ZONA NORTE I</t>
  </si>
  <si>
    <t xml:space="preserve">UNIDADE 11 - EXPANSÃO LESTE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</si>
</sst>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R$ &quot;#,##0.00"/>
    <numFmt numFmtId="167" formatCode="0.00%"/>
    <numFmt numFmtId="168" formatCode="#,##0.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E293B"/>
      </patternFill>
    </fill>
    <fill>
      <patternFill patternType="solid">
        <fgColor rgb="FF2C5282"/>
        <bgColor rgb="FF1B365D"/>
      </patternFill>
    </fill>
    <fill>
      <patternFill patternType="solid">
        <fgColor rgb="FFF8FAFC"/>
        <bgColor rgb="FFF9F9F9"/>
      </patternFill>
    </fill>
    <fill>
      <patternFill patternType="solid">
        <fgColor rgb="FFEDF2F7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1B365D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EDF2F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B365D"/>
      <rgbColor rgb="FF339966"/>
      <rgbColor rgb="FF003300"/>
      <rgbColor rgb="FF333300"/>
      <rgbColor rgb="FF993300"/>
      <rgbColor rgb="FF993366"/>
      <rgbColor rgb="FF2C5282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Meta Financeira vs. Realizado por Filial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DIN!B3</c:f>
              <c:strCache>
                <c:ptCount val="1"/>
                <c:pt idx="0">
                  <c:v>META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DIN!$A$4:$A$14</c:f>
              <c:strCache>
                <c:ptCount val="11"/>
                <c:pt idx="0">
                  <c:v>FIL-02</c:v>
                </c:pt>
                <c:pt idx="1">
                  <c:v>FIL-03</c:v>
                </c:pt>
                <c:pt idx="2">
                  <c:v>FIL-04</c:v>
                </c:pt>
                <c:pt idx="3">
                  <c:v>FIL-09</c:v>
                </c:pt>
                <c:pt idx="4">
                  <c:v>FIL-08</c:v>
                </c:pt>
                <c:pt idx="5">
                  <c:v>FIL-05</c:v>
                </c:pt>
                <c:pt idx="6">
                  <c:v>FIL-06</c:v>
                </c:pt>
                <c:pt idx="7">
                  <c:v>FIL-01</c:v>
                </c:pt>
                <c:pt idx="8">
                  <c:v>FIL-07</c:v>
                </c:pt>
                <c:pt idx="9">
                  <c:v>FIL-10</c:v>
                </c:pt>
                <c:pt idx="10">
                  <c:v>FIL-11</c:v>
                </c:pt>
              </c:strCache>
            </c:strRef>
          </c:cat>
          <c:val>
            <c:numRef>
              <c:f>DIN!$B$4:$B$14</c:f>
              <c:numCache>
                <c:formatCode>General</c:formatCode>
                <c:ptCount val="11"/>
                <c:pt idx="0">
                  <c:v>93877.17077</c:v>
                </c:pt>
                <c:pt idx="1">
                  <c:v>96081.112793</c:v>
                </c:pt>
                <c:pt idx="2">
                  <c:v>269834.288706201</c:v>
                </c:pt>
                <c:pt idx="3">
                  <c:v>194813.063691432</c:v>
                </c:pt>
                <c:pt idx="4">
                  <c:v>26768.395075</c:v>
                </c:pt>
                <c:pt idx="5">
                  <c:v>119318.679759</c:v>
                </c:pt>
                <c:pt idx="6">
                  <c:v>93388.546837</c:v>
                </c:pt>
                <c:pt idx="7">
                  <c:v>362545.073084549</c:v>
                </c:pt>
                <c:pt idx="8">
                  <c:v>81223.407447</c:v>
                </c:pt>
                <c:pt idx="9">
                  <c:v>83384.412719</c:v>
                </c:pt>
                <c:pt idx="10">
                  <c:v>139183.060096</c:v>
                </c:pt>
              </c:numCache>
            </c:numRef>
          </c:val>
        </c:ser>
        <c:ser>
          <c:idx val="1"/>
          <c:order val="1"/>
          <c:tx>
            <c:strRef>
              <c:f>DIN!D3</c:f>
              <c:strCache>
                <c:ptCount val="1"/>
                <c:pt idx="0">
                  <c:v>REALIZADO (R$)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DIN!$A$4:$A$14</c:f>
              <c:strCache>
                <c:ptCount val="11"/>
                <c:pt idx="0">
                  <c:v>FIL-02</c:v>
                </c:pt>
                <c:pt idx="1">
                  <c:v>FIL-03</c:v>
                </c:pt>
                <c:pt idx="2">
                  <c:v>FIL-04</c:v>
                </c:pt>
                <c:pt idx="3">
                  <c:v>FIL-09</c:v>
                </c:pt>
                <c:pt idx="4">
                  <c:v>FIL-08</c:v>
                </c:pt>
                <c:pt idx="5">
                  <c:v>FIL-05</c:v>
                </c:pt>
                <c:pt idx="6">
                  <c:v>FIL-06</c:v>
                </c:pt>
                <c:pt idx="7">
                  <c:v>FIL-01</c:v>
                </c:pt>
                <c:pt idx="8">
                  <c:v>FIL-07</c:v>
                </c:pt>
                <c:pt idx="9">
                  <c:v>FIL-10</c:v>
                </c:pt>
                <c:pt idx="10">
                  <c:v>FIL-11</c:v>
                </c:pt>
              </c:strCache>
            </c:strRef>
          </c:cat>
          <c:val>
            <c:numRef>
              <c:f>DIN!$D$4:$D$14</c:f>
              <c:numCache>
                <c:formatCode>General</c:formatCode>
                <c:ptCount val="11"/>
                <c:pt idx="0">
                  <c:v>55287.92</c:v>
                </c:pt>
                <c:pt idx="1">
                  <c:v>46684.27</c:v>
                </c:pt>
                <c:pt idx="2">
                  <c:v>203215.53</c:v>
                </c:pt>
                <c:pt idx="3">
                  <c:v>111043.44</c:v>
                </c:pt>
                <c:pt idx="4">
                  <c:v>13613.54</c:v>
                </c:pt>
                <c:pt idx="5">
                  <c:v>63385.94</c:v>
                </c:pt>
                <c:pt idx="6">
                  <c:v>53151.16</c:v>
                </c:pt>
                <c:pt idx="7">
                  <c:v>281935.39</c:v>
                </c:pt>
                <c:pt idx="8">
                  <c:v>43516.98</c:v>
                </c:pt>
                <c:pt idx="9">
                  <c:v>52643.16</c:v>
                </c:pt>
                <c:pt idx="10">
                  <c:v>101095.13</c:v>
                </c:pt>
              </c:numCache>
            </c:numRef>
          </c:val>
        </c:ser>
        <c:gapWidth val="150"/>
        <c:overlap val="0"/>
        <c:axId val="62745605"/>
        <c:axId val="919274"/>
      </c:barChart>
      <c:catAx>
        <c:axId val="627456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Filial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274"/>
        <c:crosses val="autoZero"/>
        <c:auto val="1"/>
        <c:lblAlgn val="ctr"/>
        <c:lblOffset val="100"/>
        <c:noMultiLvlLbl val="0"/>
      </c:catAx>
      <c:valAx>
        <c:axId val="919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Faturamento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4560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20</xdr:col>
      <xdr:colOff>364680</xdr:colOff>
      <xdr:row>18</xdr:row>
      <xdr:rowOff>25920</xdr:rowOff>
    </xdr:to>
    <xdr:graphicFrame>
      <xdr:nvGraphicFramePr>
        <xdr:cNvPr id="0" name="Chart 1"/>
        <xdr:cNvGraphicFramePr/>
      </xdr:nvGraphicFramePr>
      <xdr:xfrm>
        <a:off x="12312000" y="5144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6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1" min="11" style="0" width="22"/>
    <col collapsed="false" customWidth="true" hidden="false" outlineLevel="0" max="15" min="1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2" t="s">
        <v>2</v>
      </c>
      <c r="B2" s="3" t="s">
        <v>3</v>
      </c>
      <c r="C2" s="3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</row>
    <row r="3" customFormat="false" ht="19.5" hidden="false" customHeight="true" outlineLevel="0" collapsed="false">
      <c r="A3" s="5" t="s">
        <v>17</v>
      </c>
      <c r="B3" s="6" t="n">
        <v>980</v>
      </c>
      <c r="C3" s="7" t="n">
        <v>18466.52</v>
      </c>
      <c r="D3" s="8" t="n">
        <v>0.142</v>
      </c>
      <c r="E3" s="8" t="n">
        <v>0.116</v>
      </c>
      <c r="F3" s="8" t="n">
        <v>0.092</v>
      </c>
      <c r="G3" s="8" t="n">
        <v>0.08</v>
      </c>
      <c r="H3" s="8" t="n">
        <v>0.135</v>
      </c>
      <c r="I3" s="8" t="n">
        <v>0.161</v>
      </c>
      <c r="J3" s="8" t="n">
        <v>0.059</v>
      </c>
      <c r="K3" s="8" t="n">
        <v>0.092</v>
      </c>
      <c r="L3" s="8" t="n">
        <v>0.059</v>
      </c>
      <c r="M3" s="8" t="n">
        <v>0.064</v>
      </c>
      <c r="N3" s="9"/>
      <c r="O3" s="10" t="n">
        <f aca="false">SUM(D3:N3)</f>
        <v>1</v>
      </c>
    </row>
    <row r="4" customFormat="false" ht="19.5" hidden="false" customHeight="true" outlineLevel="0" collapsed="false">
      <c r="A4" s="11" t="s">
        <v>18</v>
      </c>
      <c r="B4" s="12" t="n">
        <v>4412</v>
      </c>
      <c r="C4" s="13" t="n">
        <v>168576.67</v>
      </c>
      <c r="D4" s="14" t="n">
        <v>0.106</v>
      </c>
      <c r="E4" s="14" t="n">
        <v>0.074</v>
      </c>
      <c r="F4" s="14" t="n">
        <v>0.105</v>
      </c>
      <c r="G4" s="14" t="n">
        <v>0.04</v>
      </c>
      <c r="H4" s="14" t="n">
        <v>0.1129</v>
      </c>
      <c r="I4" s="14" t="n">
        <v>0.1115</v>
      </c>
      <c r="J4" s="14" t="n">
        <v>0.051</v>
      </c>
      <c r="K4" s="14" t="n">
        <v>0.197</v>
      </c>
      <c r="L4" s="14" t="n">
        <v>0.057</v>
      </c>
      <c r="M4" s="14" t="n">
        <v>0.06</v>
      </c>
      <c r="N4" s="14" t="n">
        <v>0.0856</v>
      </c>
      <c r="O4" s="15" t="n">
        <f aca="false">SUM(D4:N4)</f>
        <v>1</v>
      </c>
    </row>
    <row r="5" customFormat="false" ht="19.5" hidden="false" customHeight="true" outlineLevel="0" collapsed="false">
      <c r="A5" s="5" t="s">
        <v>19</v>
      </c>
      <c r="B5" s="6" t="n">
        <v>4572</v>
      </c>
      <c r="C5" s="7" t="n">
        <v>124742.33</v>
      </c>
      <c r="D5" s="8" t="n">
        <v>0.101</v>
      </c>
      <c r="E5" s="8" t="n">
        <v>0.0855</v>
      </c>
      <c r="F5" s="8" t="n">
        <v>0.0874</v>
      </c>
      <c r="G5" s="8" t="n">
        <v>0.0485</v>
      </c>
      <c r="H5" s="8" t="n">
        <v>0.1</v>
      </c>
      <c r="I5" s="8" t="n">
        <v>0.106</v>
      </c>
      <c r="J5" s="8" t="n">
        <v>0.073</v>
      </c>
      <c r="K5" s="8" t="n">
        <v>0.166</v>
      </c>
      <c r="L5" s="8" t="n">
        <v>0.063</v>
      </c>
      <c r="M5" s="8" t="n">
        <v>0.084</v>
      </c>
      <c r="N5" s="8" t="n">
        <v>0.0856</v>
      </c>
      <c r="O5" s="10" t="n">
        <f aca="false">SUM(D5:N5)</f>
        <v>1</v>
      </c>
    </row>
    <row r="6" customFormat="false" ht="19.5" hidden="false" customHeight="true" outlineLevel="0" collapsed="false">
      <c r="A6" s="11" t="s">
        <v>20</v>
      </c>
      <c r="B6" s="12" t="n">
        <v>600</v>
      </c>
      <c r="C6" s="13" t="n">
        <v>23323.96</v>
      </c>
      <c r="D6" s="14" t="n">
        <v>0.079</v>
      </c>
      <c r="E6" s="14" t="n">
        <v>0.082</v>
      </c>
      <c r="F6" s="14" t="n">
        <v>0.207</v>
      </c>
      <c r="G6" s="14" t="n">
        <v>0.02</v>
      </c>
      <c r="H6" s="14" t="n">
        <v>0.125</v>
      </c>
      <c r="I6" s="14" t="n">
        <v>0.059</v>
      </c>
      <c r="J6" s="14" t="n">
        <v>0.046</v>
      </c>
      <c r="K6" s="14" t="n">
        <v>0.264</v>
      </c>
      <c r="L6" s="14" t="n">
        <v>0.059</v>
      </c>
      <c r="M6" s="14" t="n">
        <v>0.059</v>
      </c>
      <c r="N6" s="16"/>
      <c r="O6" s="15" t="n">
        <f aca="false">SUM(D6:N6)</f>
        <v>1</v>
      </c>
    </row>
    <row r="7" customFormat="false" ht="19.5" hidden="false" customHeight="true" outlineLevel="0" collapsed="false">
      <c r="A7" s="5" t="s">
        <v>21</v>
      </c>
      <c r="B7" s="6" t="n">
        <v>736</v>
      </c>
      <c r="C7" s="7" t="n">
        <v>14254.35</v>
      </c>
      <c r="D7" s="8" t="n">
        <v>0.063</v>
      </c>
      <c r="E7" s="8" t="n">
        <v>0.072</v>
      </c>
      <c r="F7" s="8" t="n">
        <v>0.155</v>
      </c>
      <c r="G7" s="8" t="n">
        <v>0.049</v>
      </c>
      <c r="H7" s="8" t="n">
        <v>0.138</v>
      </c>
      <c r="I7" s="8" t="n">
        <v>0.135</v>
      </c>
      <c r="J7" s="8" t="n">
        <v>0.086</v>
      </c>
      <c r="K7" s="8" t="n">
        <v>0.198</v>
      </c>
      <c r="L7" s="8" t="n">
        <v>0.044</v>
      </c>
      <c r="M7" s="8" t="n">
        <v>0.06</v>
      </c>
      <c r="N7" s="9"/>
      <c r="O7" s="10" t="n">
        <f aca="false">SUM(D7:N7)</f>
        <v>1</v>
      </c>
    </row>
    <row r="8" customFormat="false" ht="19.5" hidden="false" customHeight="true" outlineLevel="0" collapsed="false">
      <c r="A8" s="11" t="s">
        <v>22</v>
      </c>
      <c r="B8" s="12" t="n">
        <v>320</v>
      </c>
      <c r="C8" s="13" t="n">
        <v>43795.56</v>
      </c>
      <c r="D8" s="16" t="s">
        <v>23</v>
      </c>
      <c r="E8" s="16" t="s">
        <v>23</v>
      </c>
      <c r="F8" s="14" t="n">
        <v>0.227</v>
      </c>
      <c r="G8" s="16" t="s">
        <v>23</v>
      </c>
      <c r="H8" s="14" t="n">
        <v>0.136</v>
      </c>
      <c r="I8" s="16" t="s">
        <v>23</v>
      </c>
      <c r="J8" s="16" t="s">
        <v>23</v>
      </c>
      <c r="K8" s="14" t="n">
        <v>0.553030303030303</v>
      </c>
      <c r="L8" s="14" t="n">
        <v>0.084</v>
      </c>
      <c r="M8" s="16" t="s">
        <v>23</v>
      </c>
      <c r="N8" s="16"/>
      <c r="O8" s="15" t="n">
        <f aca="false">SUM(D8:N8)</f>
        <v>1.0000303030303</v>
      </c>
    </row>
    <row r="9" customFormat="false" ht="19.5" hidden="false" customHeight="true" outlineLevel="0" collapsed="false">
      <c r="A9" s="5" t="s">
        <v>24</v>
      </c>
      <c r="B9" s="6" t="n">
        <v>8990</v>
      </c>
      <c r="C9" s="7" t="n">
        <v>380971.67</v>
      </c>
      <c r="D9" s="8" t="n">
        <v>0.023</v>
      </c>
      <c r="E9" s="8" t="n">
        <v>0.035</v>
      </c>
      <c r="F9" s="8" t="n">
        <v>0.241</v>
      </c>
      <c r="G9" s="9" t="s">
        <v>23</v>
      </c>
      <c r="H9" s="8" t="n">
        <v>0.11</v>
      </c>
      <c r="I9" s="8" t="n">
        <v>0.043</v>
      </c>
      <c r="J9" s="8" t="n">
        <v>0.048</v>
      </c>
      <c r="K9" s="8" t="n">
        <v>0.29</v>
      </c>
      <c r="L9" s="8" t="n">
        <v>0.063</v>
      </c>
      <c r="M9" s="8" t="n">
        <v>0.037</v>
      </c>
      <c r="N9" s="8" t="n">
        <v>0.11</v>
      </c>
      <c r="O9" s="10" t="n">
        <f aca="false">SUM(D9:N9)</f>
        <v>1</v>
      </c>
    </row>
    <row r="10" customFormat="false" ht="19.5" hidden="false" customHeight="true" outlineLevel="0" collapsed="false">
      <c r="A10" s="11" t="s">
        <v>25</v>
      </c>
      <c r="B10" s="12" t="n">
        <v>60</v>
      </c>
      <c r="C10" s="13" t="n">
        <v>6626.45</v>
      </c>
      <c r="D10" s="16" t="s">
        <v>23</v>
      </c>
      <c r="E10" s="16" t="s">
        <v>23</v>
      </c>
      <c r="F10" s="14" t="n">
        <v>0.327338129496403</v>
      </c>
      <c r="G10" s="16" t="s">
        <v>23</v>
      </c>
      <c r="H10" s="14" t="n">
        <v>0.201438848920863</v>
      </c>
      <c r="I10" s="16" t="s">
        <v>23</v>
      </c>
      <c r="J10" s="16" t="s">
        <v>23</v>
      </c>
      <c r="K10" s="14" t="n">
        <v>0.471223021582734</v>
      </c>
      <c r="L10" s="16" t="s">
        <v>23</v>
      </c>
      <c r="M10" s="16" t="s">
        <v>23</v>
      </c>
      <c r="N10" s="16"/>
      <c r="O10" s="15" t="n">
        <f aca="false">SUM(D10:N10)</f>
        <v>1</v>
      </c>
    </row>
    <row r="11" customFormat="false" ht="19.5" hidden="false" customHeight="true" outlineLevel="0" collapsed="false">
      <c r="A11" s="5" t="s">
        <v>26</v>
      </c>
      <c r="B11" s="6" t="n">
        <v>7426</v>
      </c>
      <c r="C11" s="7" t="n">
        <v>341403.67</v>
      </c>
      <c r="D11" s="8" t="n">
        <v>0.062</v>
      </c>
      <c r="E11" s="8" t="n">
        <v>0.0523</v>
      </c>
      <c r="F11" s="8" t="n">
        <v>0.165</v>
      </c>
      <c r="G11" s="8" t="n">
        <v>0.02</v>
      </c>
      <c r="H11" s="8" t="n">
        <v>0.1294</v>
      </c>
      <c r="I11" s="8" t="n">
        <v>0.0794</v>
      </c>
      <c r="J11" s="8" t="n">
        <v>0.0739</v>
      </c>
      <c r="K11" s="8" t="n">
        <v>0.2</v>
      </c>
      <c r="L11" s="8" t="n">
        <v>0.0695</v>
      </c>
      <c r="M11" s="8" t="n">
        <v>0.0529</v>
      </c>
      <c r="N11" s="8" t="n">
        <v>0.0956</v>
      </c>
      <c r="O11" s="10" t="n">
        <f aca="false">SUM(D11:N11)</f>
        <v>1</v>
      </c>
    </row>
    <row r="12" customFormat="false" ht="19.5" hidden="false" customHeight="true" outlineLevel="0" collapsed="false">
      <c r="A12" s="11" t="s">
        <v>27</v>
      </c>
      <c r="B12" s="12" t="n">
        <v>4368</v>
      </c>
      <c r="C12" s="13" t="n">
        <v>93098.49</v>
      </c>
      <c r="D12" s="14" t="n">
        <v>0.094</v>
      </c>
      <c r="E12" s="14" t="n">
        <v>0.0679</v>
      </c>
      <c r="F12" s="14" t="n">
        <v>0.125</v>
      </c>
      <c r="G12" s="16" t="s">
        <v>23</v>
      </c>
      <c r="H12" s="14" t="n">
        <v>0.156</v>
      </c>
      <c r="I12" s="14" t="n">
        <v>0.086</v>
      </c>
      <c r="J12" s="14" t="n">
        <v>0.078</v>
      </c>
      <c r="K12" s="14" t="n">
        <v>0.1675</v>
      </c>
      <c r="L12" s="14" t="n">
        <v>0.085</v>
      </c>
      <c r="M12" s="14" t="n">
        <v>0.085</v>
      </c>
      <c r="N12" s="14" t="n">
        <v>0.0556</v>
      </c>
      <c r="O12" s="15" t="n">
        <f aca="false">SUM(D12:N12)</f>
        <v>1</v>
      </c>
    </row>
    <row r="13" customFormat="false" ht="19.5" hidden="false" customHeight="true" outlineLevel="0" collapsed="false">
      <c r="A13" s="5" t="s">
        <v>28</v>
      </c>
      <c r="B13" s="6" t="n">
        <v>2174</v>
      </c>
      <c r="C13" s="7" t="n">
        <v>55411.08</v>
      </c>
      <c r="D13" s="9" t="s">
        <v>23</v>
      </c>
      <c r="E13" s="8" t="n">
        <v>0.0713</v>
      </c>
      <c r="F13" s="8" t="n">
        <v>0.2472</v>
      </c>
      <c r="G13" s="9" t="s">
        <v>23</v>
      </c>
      <c r="H13" s="8" t="n">
        <v>0.154</v>
      </c>
      <c r="I13" s="8" t="n">
        <v>0.0605</v>
      </c>
      <c r="J13" s="8" t="n">
        <v>0.064</v>
      </c>
      <c r="K13" s="8" t="n">
        <v>0.281</v>
      </c>
      <c r="L13" s="9" t="s">
        <v>23</v>
      </c>
      <c r="M13" s="8" t="n">
        <v>0.052</v>
      </c>
      <c r="N13" s="8" t="n">
        <v>0.07</v>
      </c>
      <c r="O13" s="10" t="n">
        <f aca="false">SUM(D13:N13)</f>
        <v>1</v>
      </c>
    </row>
    <row r="14" customFormat="false" ht="19.5" hidden="false" customHeight="true" outlineLevel="0" collapsed="false">
      <c r="A14" s="11" t="s">
        <v>29</v>
      </c>
      <c r="B14" s="12" t="n">
        <v>6622</v>
      </c>
      <c r="C14" s="13" t="n">
        <v>97934.52</v>
      </c>
      <c r="D14" s="14" t="n">
        <v>0.084</v>
      </c>
      <c r="E14" s="14" t="n">
        <v>0.0609</v>
      </c>
      <c r="F14" s="14" t="n">
        <v>0.134</v>
      </c>
      <c r="G14" s="14" t="n">
        <v>0.046</v>
      </c>
      <c r="H14" s="14" t="n">
        <v>0.133</v>
      </c>
      <c r="I14" s="14" t="n">
        <v>0.1248</v>
      </c>
      <c r="J14" s="14" t="n">
        <v>0.0737</v>
      </c>
      <c r="K14" s="14" t="n">
        <v>0.172</v>
      </c>
      <c r="L14" s="14" t="n">
        <v>0.0374</v>
      </c>
      <c r="M14" s="14" t="n">
        <v>0.0582</v>
      </c>
      <c r="N14" s="14" t="n">
        <v>0.076</v>
      </c>
      <c r="O14" s="15" t="n">
        <f aca="false">SUM(D14:N14)</f>
        <v>1</v>
      </c>
    </row>
    <row r="15" customFormat="false" ht="19.5" hidden="false" customHeight="true" outlineLevel="0" collapsed="false">
      <c r="A15" s="5" t="s">
        <v>30</v>
      </c>
      <c r="B15" s="6" t="n">
        <v>360</v>
      </c>
      <c r="C15" s="7" t="n">
        <v>20844.85</v>
      </c>
      <c r="D15" s="9" t="s">
        <v>23</v>
      </c>
      <c r="E15" s="8" t="n">
        <v>0.111</v>
      </c>
      <c r="F15" s="8" t="n">
        <v>0.251</v>
      </c>
      <c r="G15" s="9" t="s">
        <v>23</v>
      </c>
      <c r="H15" s="8" t="n">
        <v>0.237</v>
      </c>
      <c r="I15" s="9" t="s">
        <v>23</v>
      </c>
      <c r="J15" s="9" t="s">
        <v>23</v>
      </c>
      <c r="K15" s="8" t="n">
        <v>0.251</v>
      </c>
      <c r="L15" s="9" t="s">
        <v>23</v>
      </c>
      <c r="M15" s="9" t="s">
        <v>23</v>
      </c>
      <c r="N15" s="8" t="n">
        <v>0.15</v>
      </c>
      <c r="O15" s="10" t="n">
        <f aca="false">SUM(D15:N15)</f>
        <v>1</v>
      </c>
    </row>
    <row r="16" customFormat="false" ht="19.5" hidden="false" customHeight="true" outlineLevel="0" collapsed="false">
      <c r="A16" s="11" t="s">
        <v>31</v>
      </c>
      <c r="B16" s="12" t="n">
        <v>2800</v>
      </c>
      <c r="C16" s="13" t="n">
        <v>132608</v>
      </c>
      <c r="D16" s="14" t="n">
        <v>0.084</v>
      </c>
      <c r="E16" s="14" t="n">
        <v>0.0409</v>
      </c>
      <c r="F16" s="14" t="n">
        <v>0.16</v>
      </c>
      <c r="G16" s="14" t="n">
        <v>0</v>
      </c>
      <c r="H16" s="14" t="n">
        <v>0.1071</v>
      </c>
      <c r="I16" s="14" t="n">
        <v>0.0776</v>
      </c>
      <c r="J16" s="14" t="n">
        <v>0.0811</v>
      </c>
      <c r="K16" s="14" t="n">
        <v>0.2294</v>
      </c>
      <c r="L16" s="14" t="n">
        <v>0.0669</v>
      </c>
      <c r="M16" s="14" t="n">
        <v>0.0646</v>
      </c>
      <c r="N16" s="14" t="n">
        <v>0.0884</v>
      </c>
      <c r="O16" s="15" t="n">
        <f aca="false">SUM(D16:N16)</f>
        <v>1</v>
      </c>
    </row>
    <row r="17" customFormat="false" ht="19.5" hidden="false" customHeight="true" outlineLevel="0" collapsed="false">
      <c r="A17" s="5" t="s">
        <v>32</v>
      </c>
      <c r="B17" s="6" t="n">
        <v>600</v>
      </c>
      <c r="C17" s="7" t="n">
        <v>38361.6</v>
      </c>
      <c r="D17" s="9" t="s">
        <v>23</v>
      </c>
      <c r="E17" s="9" t="s">
        <v>23</v>
      </c>
      <c r="F17" s="8" t="n">
        <v>0.1911</v>
      </c>
      <c r="G17" s="9" t="s">
        <v>23</v>
      </c>
      <c r="H17" s="8" t="n">
        <v>0.1911</v>
      </c>
      <c r="I17" s="8" t="n">
        <v>0.09555</v>
      </c>
      <c r="J17" s="9" t="s">
        <v>23</v>
      </c>
      <c r="K17" s="8" t="n">
        <v>0.2133</v>
      </c>
      <c r="L17" s="8" t="n">
        <v>0.09555</v>
      </c>
      <c r="M17" s="9" t="s">
        <v>23</v>
      </c>
      <c r="N17" s="8" t="n">
        <v>0.2133</v>
      </c>
      <c r="O17" s="10" t="n">
        <f aca="false">SUM(D17:N17)</f>
        <v>0.9999</v>
      </c>
    </row>
    <row r="18" customFormat="false" ht="21.75" hidden="false" customHeight="true" outlineLevel="0" collapsed="false">
      <c r="A18" s="17" t="s">
        <v>33</v>
      </c>
      <c r="B18" s="18" t="n">
        <f aca="false">SUM(B3:B17)</f>
        <v>45020</v>
      </c>
      <c r="C18" s="19" t="n">
        <f aca="false">SUM(C3:C17)</f>
        <v>1560419.72</v>
      </c>
      <c r="D18" s="20" t="n">
        <f aca="false">AVERAGE(D3:D17)</f>
        <v>0.0838</v>
      </c>
      <c r="E18" s="20" t="n">
        <f aca="false">AVERAGE(E3:E17)</f>
        <v>0.0724</v>
      </c>
      <c r="F18" s="20" t="n">
        <f aca="false">AVERAGE(F3:F17)</f>
        <v>0.181002541966427</v>
      </c>
      <c r="G18" s="20" t="n">
        <f aca="false">AVERAGE(G3:G17)</f>
        <v>0.0379375</v>
      </c>
      <c r="H18" s="20" t="n">
        <f aca="false">AVERAGE(H3:H17)</f>
        <v>0.144395923261391</v>
      </c>
      <c r="I18" s="20" t="n">
        <f aca="false">AVERAGE(I3:I17)</f>
        <v>0.0949458333333333</v>
      </c>
      <c r="J18" s="20" t="n">
        <f aca="false">AVERAGE(J3:J17)</f>
        <v>0.0667</v>
      </c>
      <c r="K18" s="20" t="n">
        <f aca="false">AVERAGE(K3:K17)</f>
        <v>0.249696888307536</v>
      </c>
      <c r="L18" s="20" t="n">
        <f aca="false">AVERAGE(L3:L17)</f>
        <v>0.0652791666666667</v>
      </c>
      <c r="M18" s="20" t="n">
        <f aca="false">AVERAGE(M3:M17)</f>
        <v>0.0615181818181818</v>
      </c>
      <c r="N18" s="20" t="n">
        <f aca="false">AVERAGE(N3:N17)</f>
        <v>0.10301</v>
      </c>
      <c r="O18" s="20" t="n">
        <f aca="false">AVERAGE(O3:O17)</f>
        <v>0.999995353535354</v>
      </c>
    </row>
  </sheetData>
  <mergeCells count="2">
    <mergeCell ref="A1:C1"/>
    <mergeCell ref="D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17"/>
  </cols>
  <sheetData>
    <row r="1" customFormat="false" ht="25.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</row>
    <row r="3" customFormat="false" ht="21.75" hidden="false" customHeight="true" outlineLevel="0" collapsed="false">
      <c r="A3" s="2" t="s">
        <v>35</v>
      </c>
      <c r="B3" s="3" t="s">
        <v>4</v>
      </c>
      <c r="C3" s="3" t="s">
        <v>3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</row>
    <row r="4" customFormat="false" ht="19.5" hidden="false" customHeight="true" outlineLevel="0" collapsed="false">
      <c r="A4" s="11" t="s">
        <v>5</v>
      </c>
      <c r="B4" s="13" t="n">
        <f aca="false">SUMIFS(RESULTADOS!$D$2:$D$133, RESULTADOS!$B$2:$B$133, $A4)</f>
        <v>93877.17077</v>
      </c>
      <c r="C4" s="21" t="n">
        <f aca="false">SUMIFS(RESULTADOS!$E$2:$E$133, RESULTADOS!$B$2:$B$133, $A4)</f>
        <v>3031.594</v>
      </c>
      <c r="D4" s="13" t="n">
        <f aca="false">SUMIFS(RESULTADOS!$F$2:$F$133, RESULTADOS!$B$2:$B$133, $A4)</f>
        <v>55287.92</v>
      </c>
      <c r="E4" s="14" t="n">
        <f aca="false">IFERROR(D4/B4, 0)</f>
        <v>0.588938924623708</v>
      </c>
      <c r="F4" s="12" t="n">
        <f aca="false">SUMIFS(RESULTADOS!$H$2:$H$133, RESULTADOS!$B$2:$B$133, $A4)</f>
        <v>1880</v>
      </c>
      <c r="G4" s="14" t="n">
        <f aca="false">IFERROR(F4/C4, 0)</f>
        <v>0.620135809742334</v>
      </c>
      <c r="H4" s="21" t="n">
        <f aca="false">SUMIFS(RESULTADOS!$L$2:$L$133, RESULTADOS!$B$2:$B$133, $A4)</f>
        <v>42.6516296296296</v>
      </c>
      <c r="I4" s="13" t="n">
        <f aca="false">SUMIFS(RESULTADOS!$M$2:$M$133, RESULTADOS!$B$2:$B$133, $A4)</f>
        <v>1429.23151</v>
      </c>
    </row>
    <row r="5" customFormat="false" ht="19.5" hidden="false" customHeight="true" outlineLevel="0" collapsed="false">
      <c r="A5" s="5" t="s">
        <v>13</v>
      </c>
      <c r="B5" s="7" t="n">
        <f aca="false">SUMIFS(RESULTADOS!$D$2:$D$133, RESULTADOS!$B$2:$B$133, $A5)</f>
        <v>96081.112793</v>
      </c>
      <c r="C5" s="22" t="n">
        <f aca="false">SUMIFS(RESULTADOS!$E$2:$E$133, RESULTADOS!$B$2:$B$133, $A5)</f>
        <v>2638.0738</v>
      </c>
      <c r="D5" s="7" t="n">
        <f aca="false">SUMIFS(RESULTADOS!$F$2:$F$133, RESULTADOS!$B$2:$B$133, $A5)</f>
        <v>46684.27</v>
      </c>
      <c r="E5" s="8" t="n">
        <f aca="false">IFERROR(D5/B5, 0)</f>
        <v>0.485883943710956</v>
      </c>
      <c r="F5" s="6" t="n">
        <f aca="false">SUMIFS(RESULTADOS!$H$2:$H$133, RESULTADOS!$B$2:$B$133, $A5)</f>
        <v>1296</v>
      </c>
      <c r="G5" s="8" t="n">
        <f aca="false">IFERROR(F5/C5, 0)</f>
        <v>0.491267530119893</v>
      </c>
      <c r="H5" s="22" t="n">
        <f aca="false">SUMIFS(RESULTADOS!$L$2:$L$133, RESULTADOS!$B$2:$B$133, $A5)</f>
        <v>49.706437037037</v>
      </c>
      <c r="I5" s="7" t="n">
        <f aca="false">SUMIFS(RESULTADOS!$M$2:$M$133, RESULTADOS!$B$2:$B$133, $A5)</f>
        <v>1829.51269603704</v>
      </c>
    </row>
    <row r="6" customFormat="false" ht="19.5" hidden="false" customHeight="true" outlineLevel="0" collapsed="false">
      <c r="A6" s="11" t="s">
        <v>7</v>
      </c>
      <c r="B6" s="13" t="n">
        <f aca="false">SUMIFS(RESULTADOS!$D$2:$D$133, RESULTADOS!$B$2:$B$133, $A6)</f>
        <v>269834.288706201</v>
      </c>
      <c r="C6" s="21" t="n">
        <f aca="false">SUMIFS(RESULTADOS!$E$2:$E$133, RESULTADOS!$B$2:$B$133, $A6)</f>
        <v>7299.23388776979</v>
      </c>
      <c r="D6" s="13" t="n">
        <f aca="false">SUMIFS(RESULTADOS!$F$2:$F$133, RESULTADOS!$B$2:$B$133, $A6)</f>
        <v>203215.53</v>
      </c>
      <c r="E6" s="14" t="n">
        <f aca="false">IFERROR(D6/B6, 0)</f>
        <v>0.753112330439455</v>
      </c>
      <c r="F6" s="12" t="n">
        <f aca="false">SUMIFS(RESULTADOS!$H$2:$H$133, RESULTADOS!$B$2:$B$133, $A6)</f>
        <v>5378</v>
      </c>
      <c r="G6" s="14" t="n">
        <f aca="false">IFERROR(F6/C6, 0)</f>
        <v>0.736789652543001</v>
      </c>
      <c r="H6" s="21" t="n">
        <f aca="false">SUMIFS(RESULTADOS!$L$2:$L$133, RESULTADOS!$B$2:$B$133, $A6)</f>
        <v>72.1397736211031</v>
      </c>
      <c r="I6" s="13" t="n">
        <f aca="false">SUMIFS(RESULTADOS!$M$2:$M$133, RESULTADOS!$B$2:$B$133, $A6)</f>
        <v>2619.00254208153</v>
      </c>
    </row>
    <row r="7" customFormat="false" ht="19.5" hidden="false" customHeight="true" outlineLevel="0" collapsed="false">
      <c r="A7" s="5" t="s">
        <v>9</v>
      </c>
      <c r="B7" s="7" t="n">
        <f aca="false">SUMIFS(RESULTADOS!$D$2:$D$133, RESULTADOS!$B$2:$B$133, $A7)</f>
        <v>194813.063691432</v>
      </c>
      <c r="C7" s="22" t="n">
        <f aca="false">SUMIFS(RESULTADOS!$E$2:$E$133, RESULTADOS!$B$2:$B$133, $A7)</f>
        <v>5666.40353093525</v>
      </c>
      <c r="D7" s="7" t="n">
        <f aca="false">SUMIFS(RESULTADOS!$F$2:$F$133, RESULTADOS!$B$2:$B$133, $A7)</f>
        <v>111043.44</v>
      </c>
      <c r="E7" s="8" t="n">
        <f aca="false">IFERROR(D7/B7, 0)</f>
        <v>0.569999967640178</v>
      </c>
      <c r="F7" s="6" t="n">
        <f aca="false">SUMIFS(RESULTADOS!$H$2:$H$133, RESULTADOS!$B$2:$B$133, $A7)</f>
        <v>3542</v>
      </c>
      <c r="G7" s="8" t="n">
        <f aca="false">IFERROR(F7/C7, 0)</f>
        <v>0.625087849932104</v>
      </c>
      <c r="H7" s="22" t="n">
        <f aca="false">SUMIFS(RESULTADOS!$L$2:$L$133, RESULTADOS!$B$2:$B$133, $A7)</f>
        <v>78.6816122568612</v>
      </c>
      <c r="I7" s="7" t="n">
        <f aca="false">SUMIFS(RESULTADOS!$M$2:$M$133, RESULTADOS!$B$2:$B$133, $A7)</f>
        <v>3102.57865523821</v>
      </c>
    </row>
    <row r="8" customFormat="false" ht="19.5" hidden="false" customHeight="true" outlineLevel="0" collapsed="false">
      <c r="A8" s="11" t="s">
        <v>8</v>
      </c>
      <c r="B8" s="13" t="n">
        <f aca="false">SUMIFS(RESULTADOS!$D$2:$D$133, RESULTADOS!$B$2:$B$133, $A8)</f>
        <v>26768.395075</v>
      </c>
      <c r="C8" s="21" t="n">
        <f aca="false">SUMIFS(RESULTADOS!$E$2:$E$133, RESULTADOS!$B$2:$B$133, $A8)</f>
        <v>977.818</v>
      </c>
      <c r="D8" s="13" t="n">
        <f aca="false">SUMIFS(RESULTADOS!$F$2:$F$133, RESULTADOS!$B$2:$B$133, $A8)</f>
        <v>13613.54</v>
      </c>
      <c r="E8" s="14" t="n">
        <f aca="false">IFERROR(D8/B8, 0)</f>
        <v>0.508567658309638</v>
      </c>
      <c r="F8" s="12" t="n">
        <f aca="false">SUMIFS(RESULTADOS!$H$2:$H$133, RESULTADOS!$B$2:$B$133, $A8)</f>
        <v>528</v>
      </c>
      <c r="G8" s="14" t="n">
        <f aca="false">IFERROR(F8/C8, 0)</f>
        <v>0.539977787277387</v>
      </c>
      <c r="H8" s="21" t="n">
        <f aca="false">SUMIFS(RESULTADOS!$L$2:$L$133, RESULTADOS!$B$2:$B$133, $A8)</f>
        <v>17.3117777777778</v>
      </c>
      <c r="I8" s="13" t="n">
        <f aca="false">SUMIFS(RESULTADOS!$M$2:$M$133, RESULTADOS!$B$2:$B$133, $A8)</f>
        <v>498.693832407407</v>
      </c>
    </row>
    <row r="9" customFormat="false" ht="19.5" hidden="false" customHeight="true" outlineLevel="0" collapsed="false">
      <c r="A9" s="5" t="s">
        <v>10</v>
      </c>
      <c r="B9" s="7" t="n">
        <f aca="false">SUMIFS(RESULTADOS!$D$2:$D$133, RESULTADOS!$B$2:$B$133, $A9)</f>
        <v>119318.679759</v>
      </c>
      <c r="C9" s="22" t="n">
        <f aca="false">SUMIFS(RESULTADOS!$E$2:$E$133, RESULTADOS!$B$2:$B$133, $A9)</f>
        <v>3853.515</v>
      </c>
      <c r="D9" s="7" t="n">
        <f aca="false">SUMIFS(RESULTADOS!$F$2:$F$133, RESULTADOS!$B$2:$B$133, $A9)</f>
        <v>63385.94</v>
      </c>
      <c r="E9" s="8" t="n">
        <f aca="false">IFERROR(D9/B9, 0)</f>
        <v>0.53123232781344</v>
      </c>
      <c r="F9" s="6" t="n">
        <f aca="false">SUMIFS(RESULTADOS!$H$2:$H$133, RESULTADOS!$B$2:$B$133, $A9)</f>
        <v>1996</v>
      </c>
      <c r="G9" s="8" t="n">
        <f aca="false">IFERROR(F9/C9, 0)</f>
        <v>0.517968659782043</v>
      </c>
      <c r="H9" s="22" t="n">
        <f aca="false">SUMIFS(RESULTADOS!$L$2:$L$133, RESULTADOS!$B$2:$B$133, $A9)</f>
        <v>68.7968518518519</v>
      </c>
      <c r="I9" s="7" t="n">
        <f aca="false">SUMIFS(RESULTADOS!$M$2:$M$133, RESULTADOS!$B$2:$B$133, $A9)</f>
        <v>2071.58295403704</v>
      </c>
    </row>
    <row r="10" customFormat="false" ht="19.5" hidden="false" customHeight="true" outlineLevel="0" collapsed="false">
      <c r="A10" s="11" t="s">
        <v>11</v>
      </c>
      <c r="B10" s="13" t="n">
        <f aca="false">SUMIFS(RESULTADOS!$D$2:$D$133, RESULTADOS!$B$2:$B$133, $A10)</f>
        <v>93388.546837</v>
      </c>
      <c r="C10" s="21" t="n">
        <f aca="false">SUMIFS(RESULTADOS!$E$2:$E$133, RESULTADOS!$B$2:$B$133, $A10)</f>
        <v>2882.7468</v>
      </c>
      <c r="D10" s="13" t="n">
        <f aca="false">SUMIFS(RESULTADOS!$F$2:$F$133, RESULTADOS!$B$2:$B$133, $A10)</f>
        <v>53151.16</v>
      </c>
      <c r="E10" s="14" t="n">
        <f aca="false">IFERROR(D10/B10, 0)</f>
        <v>0.569140026268637</v>
      </c>
      <c r="F10" s="12" t="n">
        <f aca="false">SUMIFS(RESULTADOS!$H$2:$H$133, RESULTADOS!$B$2:$B$133, $A10)</f>
        <v>1628</v>
      </c>
      <c r="G10" s="14" t="n">
        <f aca="false">IFERROR(F10/C10, 0)</f>
        <v>0.56473915780602</v>
      </c>
      <c r="H10" s="21" t="n">
        <f aca="false">SUMIFS(RESULTADOS!$L$2:$L$133, RESULTADOS!$B$2:$B$133, $A10)</f>
        <v>46.4721037037037</v>
      </c>
      <c r="I10" s="13" t="n">
        <f aca="false">SUMIFS(RESULTADOS!$M$2:$M$133, RESULTADOS!$B$2:$B$133, $A10)</f>
        <v>1490.27358655556</v>
      </c>
    </row>
    <row r="11" customFormat="false" ht="19.5" hidden="false" customHeight="true" outlineLevel="0" collapsed="false">
      <c r="A11" s="5" t="s">
        <v>12</v>
      </c>
      <c r="B11" s="7" t="n">
        <f aca="false">SUMIFS(RESULTADOS!$D$2:$D$133, RESULTADOS!$B$2:$B$133, $A11)</f>
        <v>362545.073084549</v>
      </c>
      <c r="C11" s="22" t="n">
        <f aca="false">SUMIFS(RESULTADOS!$E$2:$E$133, RESULTADOS!$B$2:$B$133, $A11)</f>
        <v>9662.12507826466</v>
      </c>
      <c r="D11" s="7" t="n">
        <f aca="false">SUMIFS(RESULTADOS!$F$2:$F$133, RESULTADOS!$B$2:$B$133, $A11)</f>
        <v>281935.39</v>
      </c>
      <c r="E11" s="8" t="n">
        <f aca="false">IFERROR(D11/B11, 0)</f>
        <v>0.777656106594642</v>
      </c>
      <c r="F11" s="6" t="n">
        <f aca="false">SUMIFS(RESULTADOS!$H$2:$H$133, RESULTADOS!$B$2:$B$133, $A11)</f>
        <v>8120</v>
      </c>
      <c r="G11" s="8" t="n">
        <f aca="false">IFERROR(F11/C11, 0)</f>
        <v>0.840394833872133</v>
      </c>
      <c r="H11" s="22" t="n">
        <f aca="false">SUMIFS(RESULTADOS!$L$2:$L$133, RESULTADOS!$B$2:$B$133, $A11)</f>
        <v>59.1554473431356</v>
      </c>
      <c r="I11" s="7" t="n">
        <f aca="false">SUMIFS(RESULTADOS!$M$2:$M$133, RESULTADOS!$B$2:$B$133, $A11)</f>
        <v>3026.32688164995</v>
      </c>
    </row>
    <row r="12" customFormat="false" ht="19.5" hidden="false" customHeight="true" outlineLevel="0" collapsed="false">
      <c r="A12" s="11" t="s">
        <v>14</v>
      </c>
      <c r="B12" s="13" t="n">
        <f aca="false">SUMIFS(RESULTADOS!$D$2:$D$133, RESULTADOS!$B$2:$B$133, $A12)</f>
        <v>81223.407447</v>
      </c>
      <c r="C12" s="21" t="n">
        <f aca="false">SUMIFS(RESULTADOS!$E$2:$E$133, RESULTADOS!$B$2:$B$133, $A12)</f>
        <v>2567.1218</v>
      </c>
      <c r="D12" s="13" t="n">
        <f aca="false">SUMIFS(RESULTADOS!$F$2:$F$133, RESULTADOS!$B$2:$B$133, $A12)</f>
        <v>43516.98</v>
      </c>
      <c r="E12" s="14" t="n">
        <f aca="false">IFERROR(D12/B12, 0)</f>
        <v>0.535768953406637</v>
      </c>
      <c r="F12" s="12" t="n">
        <f aca="false">SUMIFS(RESULTADOS!$H$2:$H$133, RESULTADOS!$B$2:$B$133, $A12)</f>
        <v>1412</v>
      </c>
      <c r="G12" s="14" t="n">
        <f aca="false">IFERROR(F12/C12, 0)</f>
        <v>0.550032335824502</v>
      </c>
      <c r="H12" s="21" t="n">
        <f aca="false">SUMIFS(RESULTADOS!$L$2:$L$133, RESULTADOS!$B$2:$B$133, $A12)</f>
        <v>42.7822888888889</v>
      </c>
      <c r="I12" s="13" t="n">
        <f aca="false">SUMIFS(RESULTADOS!$M$2:$M$133, RESULTADOS!$B$2:$B$133, $A12)</f>
        <v>1397.76431285185</v>
      </c>
    </row>
    <row r="13" customFormat="false" ht="19.5" hidden="false" customHeight="true" outlineLevel="0" collapsed="false">
      <c r="A13" s="5" t="s">
        <v>6</v>
      </c>
      <c r="B13" s="7" t="n">
        <f aca="false">SUMIFS(RESULTADOS!$D$2:$D$133, RESULTADOS!$B$2:$B$133, $A13)</f>
        <v>83384.412719</v>
      </c>
      <c r="C13" s="22" t="n">
        <f aca="false">SUMIFS(RESULTADOS!$E$2:$E$133, RESULTADOS!$B$2:$B$133, $A13)</f>
        <v>2645.649</v>
      </c>
      <c r="D13" s="7" t="n">
        <f aca="false">SUMIFS(RESULTADOS!$F$2:$F$133, RESULTADOS!$B$2:$B$133, $A13)</f>
        <v>52643.16</v>
      </c>
      <c r="E13" s="8" t="n">
        <f aca="false">IFERROR(D13/B13, 0)</f>
        <v>0.631330944038714</v>
      </c>
      <c r="F13" s="6" t="n">
        <f aca="false">SUMIFS(RESULTADOS!$H$2:$H$133, RESULTADOS!$B$2:$B$133, $A13)</f>
        <v>1650</v>
      </c>
      <c r="G13" s="8" t="n">
        <f aca="false">IFERROR(F13/C13, 0)</f>
        <v>0.623665497577343</v>
      </c>
      <c r="H13" s="22" t="n">
        <f aca="false">SUMIFS(RESULTADOS!$L$2:$L$133, RESULTADOS!$B$2:$B$133, $A13)</f>
        <v>37.1354444444444</v>
      </c>
      <c r="I13" s="7" t="n">
        <f aca="false">SUMIFS(RESULTADOS!$M$2:$M$133, RESULTADOS!$B$2:$B$133, $A13)</f>
        <v>1138.56491551852</v>
      </c>
    </row>
    <row r="14" customFormat="false" ht="19.5" hidden="false" customHeight="true" outlineLevel="0" collapsed="false">
      <c r="A14" s="11" t="s">
        <v>15</v>
      </c>
      <c r="B14" s="13" t="n">
        <f aca="false">SUMIFS(RESULTADOS!$D$2:$D$133, RESULTADOS!$B$2:$B$133, $A14)</f>
        <v>139183.060096</v>
      </c>
      <c r="C14" s="21" t="n">
        <f aca="false">SUMIFS(RESULTADOS!$E$2:$E$133, RESULTADOS!$B$2:$B$133, $A14)</f>
        <v>3795.6688</v>
      </c>
      <c r="D14" s="13" t="n">
        <f aca="false">SUMIFS(RESULTADOS!$F$2:$F$133, RESULTADOS!$B$2:$B$133, $A14)</f>
        <v>101095.13</v>
      </c>
      <c r="E14" s="14" t="n">
        <f aca="false">IFERROR(D14/B14, 0)</f>
        <v>0.726346510345948</v>
      </c>
      <c r="F14" s="12" t="n">
        <f aca="false">SUMIFS(RESULTADOS!$H$2:$H$133, RESULTADOS!$B$2:$B$133, $A14)</f>
        <v>2856</v>
      </c>
      <c r="G14" s="14" t="n">
        <f aca="false">IFERROR(F14/C14, 0)</f>
        <v>0.7524365666467</v>
      </c>
      <c r="H14" s="21" t="n">
        <f aca="false">SUMIFS(RESULTADOS!$L$2:$L$133, RESULTADOS!$B$2:$B$133, $A14)</f>
        <v>43.1932148148148</v>
      </c>
      <c r="I14" s="13" t="n">
        <f aca="false">SUMIFS(RESULTADOS!$M$2:$M$133, RESULTADOS!$B$2:$B$133, $A14)</f>
        <v>1767.03618503704</v>
      </c>
    </row>
    <row r="15" customFormat="false" ht="21.75" hidden="false" customHeight="true" outlineLevel="0" collapsed="false">
      <c r="A15" s="17" t="s">
        <v>33</v>
      </c>
      <c r="B15" s="19" t="n">
        <f aca="false">SUM(B4:B14)</f>
        <v>1560417.21097818</v>
      </c>
      <c r="C15" s="23" t="n">
        <f aca="false">SUM(C4:C14)</f>
        <v>45019.9496969697</v>
      </c>
      <c r="D15" s="19" t="n">
        <f aca="false">SUM(D4:D14)</f>
        <v>1025572.46</v>
      </c>
      <c r="E15" s="20" t="n">
        <f aca="false">IFERROR(D15/B15, 0)</f>
        <v>0.657242468735075</v>
      </c>
      <c r="F15" s="18" t="n">
        <f aca="false">SUM(F4:F14)</f>
        <v>30286</v>
      </c>
      <c r="G15" s="20" t="n">
        <f aca="false">IFERROR(F15/C15, 0)</f>
        <v>0.672723985785319</v>
      </c>
      <c r="H15" s="23" t="n">
        <f aca="false">SUM(H4:H14)</f>
        <v>558.026581369248</v>
      </c>
      <c r="I15" s="19" t="n">
        <f aca="false">SUM(I4:I14)</f>
        <v>20370.5680714141</v>
      </c>
    </row>
    <row r="18" customFormat="false" ht="21.75" hidden="false" customHeight="true" outlineLevel="0" collapsed="false">
      <c r="A18" s="2" t="s">
        <v>2</v>
      </c>
      <c r="B18" s="3" t="s">
        <v>4</v>
      </c>
      <c r="C18" s="3" t="s">
        <v>3</v>
      </c>
      <c r="D18" s="3" t="s">
        <v>36</v>
      </c>
      <c r="E18" s="3" t="s">
        <v>37</v>
      </c>
      <c r="F18" s="3" t="s">
        <v>38</v>
      </c>
      <c r="G18" s="3" t="s">
        <v>39</v>
      </c>
      <c r="H18" s="3" t="s">
        <v>40</v>
      </c>
      <c r="I18" s="3" t="s">
        <v>41</v>
      </c>
    </row>
    <row r="19" customFormat="false" ht="19.5" hidden="false" customHeight="true" outlineLevel="0" collapsed="false">
      <c r="A19" s="11" t="s">
        <v>28</v>
      </c>
      <c r="B19" s="13" t="n">
        <f aca="false">SUMIFS(RESULTADOS!$D$2:$D$133, RESULTADOS!$A$2:$A$133, $A19)</f>
        <v>55411.08</v>
      </c>
      <c r="C19" s="21" t="n">
        <f aca="false">SUMIFS(RESULTADOS!$E$2:$E$133, RESULTADOS!$A$2:$A$133, $A19)</f>
        <v>2174</v>
      </c>
      <c r="D19" s="13" t="n">
        <f aca="false">SUMIFS(RESULTADOS!$F$2:$F$133, RESULTADOS!$A$2:$A$133, $A19)</f>
        <v>37218.84</v>
      </c>
      <c r="E19" s="14" t="n">
        <f aca="false">IFERROR(D19/B19, 0)</f>
        <v>0.671685879430612</v>
      </c>
      <c r="F19" s="12" t="n">
        <f aca="false">SUMIFS(RESULTADOS!$H$2:$H$133, RESULTADOS!$A$2:$A$133, $A19)</f>
        <v>1426</v>
      </c>
      <c r="G19" s="14" t="n">
        <f aca="false">IFERROR(F19/C19, 0)</f>
        <v>0.655933762649494</v>
      </c>
      <c r="H19" s="21" t="n">
        <f aca="false">SUMIFS(RESULTADOS!$L$2:$L$133, RESULTADOS!$A$2:$A$133, $A19)</f>
        <v>31.7711111111111</v>
      </c>
      <c r="I19" s="13" t="n">
        <f aca="false">SUMIFS(RESULTADOS!$M$2:$M$133, RESULTADOS!$A$2:$A$133, $A19)</f>
        <v>792.159792592593</v>
      </c>
    </row>
    <row r="20" customFormat="false" ht="19.5" hidden="false" customHeight="true" outlineLevel="0" collapsed="false">
      <c r="A20" s="5" t="s">
        <v>17</v>
      </c>
      <c r="B20" s="7" t="n">
        <f aca="false">SUMIFS(RESULTADOS!$D$2:$D$133, RESULTADOS!$A$2:$A$133, $A20)</f>
        <v>18466.52</v>
      </c>
      <c r="C20" s="22" t="n">
        <f aca="false">SUMIFS(RESULTADOS!$E$2:$E$133, RESULTADOS!$A$2:$A$133, $A20)</f>
        <v>980</v>
      </c>
      <c r="D20" s="7" t="n">
        <f aca="false">SUMIFS(RESULTADOS!$F$2:$F$133, RESULTADOS!$A$2:$A$133, $A20)</f>
        <v>12794.36</v>
      </c>
      <c r="E20" s="8" t="n">
        <f aca="false">IFERROR(D20/B20, 0)</f>
        <v>0.692840881768736</v>
      </c>
      <c r="F20" s="6" t="n">
        <f aca="false">SUMIFS(RESULTADOS!$H$2:$H$133, RESULTADOS!$A$2:$A$133, $A20)</f>
        <v>664</v>
      </c>
      <c r="G20" s="8" t="n">
        <f aca="false">IFERROR(F20/C20, 0)</f>
        <v>0.677551020408163</v>
      </c>
      <c r="H20" s="22" t="n">
        <f aca="false">SUMIFS(RESULTADOS!$L$2:$L$133, RESULTADOS!$A$2:$A$133, $A20)</f>
        <v>13.5407407407407</v>
      </c>
      <c r="I20" s="7" t="n">
        <f aca="false">SUMIFS(RESULTADOS!$M$2:$M$133, RESULTADOS!$A$2:$A$133, $A20)</f>
        <v>253.396613333333</v>
      </c>
    </row>
    <row r="21" customFormat="false" ht="19.5" hidden="false" customHeight="true" outlineLevel="0" collapsed="false">
      <c r="A21" s="11" t="s">
        <v>19</v>
      </c>
      <c r="B21" s="13" t="n">
        <f aca="false">SUMIFS(RESULTADOS!$D$2:$D$133, RESULTADOS!$A$2:$A$133, $A21)</f>
        <v>124742.33</v>
      </c>
      <c r="C21" s="21" t="n">
        <f aca="false">SUMIFS(RESULTADOS!$E$2:$E$133, RESULTADOS!$A$2:$A$133, $A21)</f>
        <v>4572</v>
      </c>
      <c r="D21" s="13" t="n">
        <f aca="false">SUMIFS(RESULTADOS!$F$2:$F$133, RESULTADOS!$A$2:$A$133, $A21)</f>
        <v>78585.74</v>
      </c>
      <c r="E21" s="14" t="n">
        <f aca="false">IFERROR(D21/B21, 0)</f>
        <v>0.629984544941561</v>
      </c>
      <c r="F21" s="12" t="n">
        <f aca="false">SUMIFS(RESULTADOS!$H$2:$H$133, RESULTADOS!$A$2:$A$133, $A21)</f>
        <v>2790</v>
      </c>
      <c r="G21" s="14" t="n">
        <f aca="false">IFERROR(F21/C21, 0)</f>
        <v>0.610236220472441</v>
      </c>
      <c r="H21" s="21" t="n">
        <f aca="false">SUMIFS(RESULTADOS!$L$2:$L$133, RESULTADOS!$A$2:$A$133, $A21)</f>
        <v>66</v>
      </c>
      <c r="I21" s="13" t="n">
        <f aca="false">SUMIFS(RESULTADOS!$M$2:$M$133, RESULTADOS!$A$2:$A$133, $A21)</f>
        <v>1709.50333333333</v>
      </c>
    </row>
    <row r="22" customFormat="false" ht="19.5" hidden="false" customHeight="true" outlineLevel="0" collapsed="false">
      <c r="A22" s="5" t="s">
        <v>18</v>
      </c>
      <c r="B22" s="7" t="n">
        <f aca="false">SUMIFS(RESULTADOS!$D$2:$D$133, RESULTADOS!$A$2:$A$133, $A22)</f>
        <v>168576.67</v>
      </c>
      <c r="C22" s="22" t="n">
        <f aca="false">SUMIFS(RESULTADOS!$E$2:$E$133, RESULTADOS!$A$2:$A$133, $A22)</f>
        <v>4412</v>
      </c>
      <c r="D22" s="7" t="n">
        <f aca="false">SUMIFS(RESULTADOS!$F$2:$F$133, RESULTADOS!$A$2:$A$133, $A22)</f>
        <v>120286.23</v>
      </c>
      <c r="E22" s="8" t="n">
        <f aca="false">IFERROR(D22/B22, 0)</f>
        <v>0.713540195093425</v>
      </c>
      <c r="F22" s="6" t="n">
        <f aca="false">SUMIFS(RESULTADOS!$H$2:$H$133, RESULTADOS!$A$2:$A$133, $A22)</f>
        <v>3122</v>
      </c>
      <c r="G22" s="8" t="n">
        <f aca="false">IFERROR(F22/C22, 0)</f>
        <v>0.707615593834996</v>
      </c>
      <c r="H22" s="22" t="n">
        <f aca="false">SUMIFS(RESULTADOS!$L$2:$L$133, RESULTADOS!$A$2:$A$133, $A22)</f>
        <v>48.62</v>
      </c>
      <c r="I22" s="7" t="n">
        <f aca="false">SUMIFS(RESULTADOS!$M$2:$M$133, RESULTADOS!$A$2:$A$133, $A22)</f>
        <v>1882.03146851852</v>
      </c>
    </row>
    <row r="23" customFormat="false" ht="19.5" hidden="false" customHeight="true" outlineLevel="0" collapsed="false">
      <c r="A23" s="11" t="s">
        <v>22</v>
      </c>
      <c r="B23" s="13" t="n">
        <f aca="false">SUMIFS(RESULTADOS!$D$2:$D$133, RESULTADOS!$A$2:$A$133, $A23)</f>
        <v>43796.8871381818</v>
      </c>
      <c r="C23" s="21" t="n">
        <f aca="false">SUMIFS(RESULTADOS!$E$2:$E$133, RESULTADOS!$A$2:$A$133, $A23)</f>
        <v>320.009696969697</v>
      </c>
      <c r="D23" s="13" t="n">
        <f aca="false">SUMIFS(RESULTADOS!$F$2:$F$133, RESULTADOS!$A$2:$A$133, $A23)</f>
        <v>20137.6</v>
      </c>
      <c r="E23" s="14" t="n">
        <f aca="false">IFERROR(D23/B23, 0)</f>
        <v>0.459795234681055</v>
      </c>
      <c r="F23" s="12" t="n">
        <f aca="false">SUMIFS(RESULTADOS!$H$2:$H$133, RESULTADOS!$A$2:$A$133, $A23)</f>
        <v>170</v>
      </c>
      <c r="G23" s="14" t="n">
        <f aca="false">IFERROR(F23/C23, 0)</f>
        <v>0.53123390200297</v>
      </c>
      <c r="H23" s="21" t="n">
        <f aca="false">SUMIFS(RESULTADOS!$L$2:$L$133, RESULTADOS!$A$2:$A$133, $A23)</f>
        <v>6.44480359147026</v>
      </c>
      <c r="I23" s="13" t="n">
        <f aca="false">SUMIFS(RESULTADOS!$M$2:$M$133, RESULTADOS!$A$2:$A$133, $A23)</f>
        <v>1030.62730141414</v>
      </c>
    </row>
    <row r="24" customFormat="false" ht="19.5" hidden="false" customHeight="true" outlineLevel="0" collapsed="false">
      <c r="A24" s="5" t="s">
        <v>24</v>
      </c>
      <c r="B24" s="7" t="n">
        <f aca="false">SUMIFS(RESULTADOS!$D$2:$D$133, RESULTADOS!$A$2:$A$133, $A24)</f>
        <v>380971.67</v>
      </c>
      <c r="C24" s="22" t="n">
        <f aca="false">SUMIFS(RESULTADOS!$E$2:$E$133, RESULTADOS!$A$2:$A$133, $A24)</f>
        <v>8990</v>
      </c>
      <c r="D24" s="7" t="n">
        <f aca="false">SUMIFS(RESULTADOS!$F$2:$F$133, RESULTADOS!$A$2:$A$133, $A24)</f>
        <v>301200.87</v>
      </c>
      <c r="E24" s="8" t="n">
        <f aca="false">IFERROR(D24/B24, 0)</f>
        <v>0.790612252086881</v>
      </c>
      <c r="F24" s="6" t="n">
        <f aca="false">SUMIFS(RESULTADOS!$H$2:$H$133, RESULTADOS!$A$2:$A$133, $A24)</f>
        <v>7156</v>
      </c>
      <c r="G24" s="8" t="n">
        <f aca="false">IFERROR(F24/C24, 0)</f>
        <v>0.795995550611791</v>
      </c>
      <c r="H24" s="22" t="n">
        <f aca="false">SUMIFS(RESULTADOS!$L$2:$L$133, RESULTADOS!$A$2:$A$133, $A24)</f>
        <v>67.9259259259259</v>
      </c>
      <c r="I24" s="7" t="n">
        <f aca="false">SUMIFS(RESULTADOS!$M$2:$M$133, RESULTADOS!$A$2:$A$133, $A24)</f>
        <v>2954.47407407407</v>
      </c>
    </row>
    <row r="25" customFormat="false" ht="19.5" hidden="false" customHeight="true" outlineLevel="0" collapsed="false">
      <c r="A25" s="11" t="s">
        <v>29</v>
      </c>
      <c r="B25" s="13" t="n">
        <f aca="false">SUMIFS(RESULTADOS!$D$2:$D$133, RESULTADOS!$A$2:$A$133, $A25)</f>
        <v>97934.52</v>
      </c>
      <c r="C25" s="21" t="n">
        <f aca="false">SUMIFS(RESULTADOS!$E$2:$E$133, RESULTADOS!$A$2:$A$133, $A25)</f>
        <v>6622</v>
      </c>
      <c r="D25" s="13" t="n">
        <f aca="false">SUMIFS(RESULTADOS!$F$2:$F$133, RESULTADOS!$A$2:$A$133, $A25)</f>
        <v>68953.65</v>
      </c>
      <c r="E25" s="14" t="n">
        <f aca="false">IFERROR(D25/B25, 0)</f>
        <v>0.704079113268743</v>
      </c>
      <c r="F25" s="12" t="n">
        <f aca="false">SUMIFS(RESULTADOS!$H$2:$H$133, RESULTADOS!$A$2:$A$133, $A25)</f>
        <v>4658</v>
      </c>
      <c r="G25" s="14" t="n">
        <f aca="false">IFERROR(F25/C25, 0)</f>
        <v>0.703412866203564</v>
      </c>
      <c r="H25" s="21" t="n">
        <f aca="false">SUMIFS(RESULTADOS!$L$2:$L$133, RESULTADOS!$A$2:$A$133, $A25)</f>
        <v>73.9528888888889</v>
      </c>
      <c r="I25" s="13" t="n">
        <f aca="false">SUMIFS(RESULTADOS!$M$2:$M$133, RESULTADOS!$A$2:$A$133, $A25)</f>
        <v>1107.73824296296</v>
      </c>
    </row>
    <row r="26" customFormat="false" ht="19.5" hidden="false" customHeight="true" outlineLevel="0" collapsed="false">
      <c r="A26" s="5" t="s">
        <v>20</v>
      </c>
      <c r="B26" s="7" t="n">
        <f aca="false">SUMIFS(RESULTADOS!$D$2:$D$133, RESULTADOS!$A$2:$A$133, $A26)</f>
        <v>23323.96</v>
      </c>
      <c r="C26" s="22" t="n">
        <f aca="false">SUMIFS(RESULTADOS!$E$2:$E$133, RESULTADOS!$A$2:$A$133, $A26)</f>
        <v>600</v>
      </c>
      <c r="D26" s="7" t="n">
        <f aca="false">SUMIFS(RESULTADOS!$F$2:$F$133, RESULTADOS!$A$2:$A$133, $A26)</f>
        <v>12455.48</v>
      </c>
      <c r="E26" s="8" t="n">
        <f aca="false">IFERROR(D26/B26, 0)</f>
        <v>0.534020809502332</v>
      </c>
      <c r="F26" s="6" t="n">
        <f aca="false">SUMIFS(RESULTADOS!$H$2:$H$133, RESULTADOS!$A$2:$A$133, $A26)</f>
        <v>288</v>
      </c>
      <c r="G26" s="8" t="n">
        <f aca="false">IFERROR(F26/C26, 0)</f>
        <v>0.48</v>
      </c>
      <c r="H26" s="22" t="n">
        <f aca="false">SUMIFS(RESULTADOS!$L$2:$L$133, RESULTADOS!$A$2:$A$133, $A26)</f>
        <v>11.6962962962963</v>
      </c>
      <c r="I26" s="7" t="n">
        <f aca="false">SUMIFS(RESULTADOS!$M$2:$M$133, RESULTADOS!$A$2:$A$133, $A26)</f>
        <v>460.680751111111</v>
      </c>
    </row>
    <row r="27" customFormat="false" ht="19.5" hidden="false" customHeight="true" outlineLevel="0" collapsed="false">
      <c r="A27" s="11" t="s">
        <v>21</v>
      </c>
      <c r="B27" s="13" t="n">
        <f aca="false">SUMIFS(RESULTADOS!$D$2:$D$133, RESULTADOS!$A$2:$A$133, $A27)</f>
        <v>14254.35</v>
      </c>
      <c r="C27" s="21" t="n">
        <f aca="false">SUMIFS(RESULTADOS!$E$2:$E$133, RESULTADOS!$A$2:$A$133, $A27)</f>
        <v>736</v>
      </c>
      <c r="D27" s="13" t="n">
        <f aca="false">SUMIFS(RESULTADOS!$F$2:$F$133, RESULTADOS!$A$2:$A$133, $A27)</f>
        <v>9060.66</v>
      </c>
      <c r="E27" s="14" t="n">
        <f aca="false">IFERROR(D27/B27, 0)</f>
        <v>0.635641751465342</v>
      </c>
      <c r="F27" s="12" t="n">
        <f aca="false">SUMIFS(RESULTADOS!$H$2:$H$133, RESULTADOS!$A$2:$A$133, $A27)</f>
        <v>534</v>
      </c>
      <c r="G27" s="14" t="n">
        <f aca="false">IFERROR(F27/C27, 0)</f>
        <v>0.72554347826087</v>
      </c>
      <c r="H27" s="21" t="n">
        <f aca="false">SUMIFS(RESULTADOS!$L$2:$L$133, RESULTADOS!$A$2:$A$133, $A27)</f>
        <v>7.82518518518519</v>
      </c>
      <c r="I27" s="13" t="n">
        <f aca="false">SUMIFS(RESULTADOS!$M$2:$M$133, RESULTADOS!$A$2:$A$133, $A27)</f>
        <v>193.588851851852</v>
      </c>
    </row>
    <row r="28" customFormat="false" ht="19.5" hidden="false" customHeight="true" outlineLevel="0" collapsed="false">
      <c r="A28" s="5" t="s">
        <v>25</v>
      </c>
      <c r="B28" s="7" t="n">
        <f aca="false">SUMIFS(RESULTADOS!$D$2:$D$133, RESULTADOS!$A$2:$A$133, $A28)</f>
        <v>6626.45</v>
      </c>
      <c r="C28" s="22" t="n">
        <f aca="false">SUMIFS(RESULTADOS!$E$2:$E$133, RESULTADOS!$A$2:$A$133, $A28)</f>
        <v>60</v>
      </c>
      <c r="D28" s="7" t="n">
        <f aca="false">SUMIFS(RESULTADOS!$F$2:$F$133, RESULTADOS!$A$2:$A$133, $A28)</f>
        <v>383.87</v>
      </c>
      <c r="E28" s="8" t="n">
        <f aca="false">IFERROR(D28/B28, 0)</f>
        <v>0.0579299624987739</v>
      </c>
      <c r="F28" s="6" t="n">
        <f aca="false">SUMIFS(RESULTADOS!$H$2:$H$133, RESULTADOS!$A$2:$A$133, $A28)</f>
        <v>2</v>
      </c>
      <c r="G28" s="8" t="n">
        <f aca="false">IFERROR(F28/C28, 0)</f>
        <v>0.0333333333333333</v>
      </c>
      <c r="H28" s="22" t="n">
        <f aca="false">SUMIFS(RESULTADOS!$L$2:$L$133, RESULTADOS!$A$2:$A$133, $A28)</f>
        <v>2.14814814814815</v>
      </c>
      <c r="I28" s="7" t="n">
        <f aca="false">SUMIFS(RESULTADOS!$M$2:$M$133, RESULTADOS!$A$2:$A$133, $A28)</f>
        <v>231.206666666667</v>
      </c>
    </row>
    <row r="29" customFormat="false" ht="19.5" hidden="false" customHeight="true" outlineLevel="0" collapsed="false">
      <c r="A29" s="11" t="s">
        <v>27</v>
      </c>
      <c r="B29" s="13" t="n">
        <f aca="false">SUMIFS(RESULTADOS!$D$2:$D$133, RESULTADOS!$A$2:$A$133, $A29)</f>
        <v>93098.49</v>
      </c>
      <c r="C29" s="21" t="n">
        <f aca="false">SUMIFS(RESULTADOS!$E$2:$E$133, RESULTADOS!$A$2:$A$133, $A29)</f>
        <v>4368</v>
      </c>
      <c r="D29" s="13" t="n">
        <f aca="false">SUMIFS(RESULTADOS!$F$2:$F$133, RESULTADOS!$A$2:$A$133, $A29)</f>
        <v>50353.45</v>
      </c>
      <c r="E29" s="14" t="n">
        <f aca="false">IFERROR(D29/B29, 0)</f>
        <v>0.540862155766436</v>
      </c>
      <c r="F29" s="12" t="n">
        <f aca="false">SUMIFS(RESULTADOS!$H$2:$H$133, RESULTADOS!$A$2:$A$133, $A29)</f>
        <v>2396</v>
      </c>
      <c r="G29" s="14" t="n">
        <f aca="false">IFERROR(F29/C29, 0)</f>
        <v>0.548534798534799</v>
      </c>
      <c r="H29" s="21" t="n">
        <f aca="false">SUMIFS(RESULTADOS!$L$2:$L$133, RESULTADOS!$A$2:$A$133, $A29)</f>
        <v>73.037037037037</v>
      </c>
      <c r="I29" s="13" t="n">
        <f aca="false">SUMIFS(RESULTADOS!$M$2:$M$133, RESULTADOS!$A$2:$A$133, $A29)</f>
        <v>1583.14962962963</v>
      </c>
    </row>
    <row r="30" customFormat="false" ht="19.5" hidden="false" customHeight="true" outlineLevel="0" collapsed="false">
      <c r="A30" s="5" t="s">
        <v>30</v>
      </c>
      <c r="B30" s="7" t="n">
        <f aca="false">SUMIFS(RESULTADOS!$D$2:$D$133, RESULTADOS!$A$2:$A$133, $A30)</f>
        <v>20844.85</v>
      </c>
      <c r="C30" s="22" t="n">
        <f aca="false">SUMIFS(RESULTADOS!$E$2:$E$133, RESULTADOS!$A$2:$A$133, $A30)</f>
        <v>360</v>
      </c>
      <c r="D30" s="7" t="n">
        <f aca="false">SUMIFS(RESULTADOS!$F$2:$F$133, RESULTADOS!$A$2:$A$133, $A30)</f>
        <v>8851.35</v>
      </c>
      <c r="E30" s="8" t="n">
        <f aca="false">IFERROR(D30/B30, 0)</f>
        <v>0.424630064500344</v>
      </c>
      <c r="F30" s="6" t="n">
        <f aca="false">SUMIFS(RESULTADOS!$H$2:$H$133, RESULTADOS!$A$2:$A$133, $A30)</f>
        <v>154</v>
      </c>
      <c r="G30" s="8" t="n">
        <f aca="false">IFERROR(F30/C30, 0)</f>
        <v>0.427777777777778</v>
      </c>
      <c r="H30" s="22" t="n">
        <f aca="false">SUMIFS(RESULTADOS!$L$2:$L$133, RESULTADOS!$A$2:$A$133, $A30)</f>
        <v>8.66666666666667</v>
      </c>
      <c r="I30" s="7" t="n">
        <f aca="false">SUMIFS(RESULTADOS!$M$2:$M$133, RESULTADOS!$A$2:$A$133, $A30)</f>
        <v>502.416018518519</v>
      </c>
    </row>
    <row r="31" customFormat="false" ht="19.5" hidden="false" customHeight="true" outlineLevel="0" collapsed="false">
      <c r="A31" s="11" t="s">
        <v>26</v>
      </c>
      <c r="B31" s="13" t="n">
        <f aca="false">SUMIFS(RESULTADOS!$D$2:$D$133, RESULTADOS!$A$2:$A$133, $A31)</f>
        <v>341403.67</v>
      </c>
      <c r="C31" s="21" t="n">
        <f aca="false">SUMIFS(RESULTADOS!$E$2:$E$133, RESULTADOS!$A$2:$A$133, $A31)</f>
        <v>7426</v>
      </c>
      <c r="D31" s="13" t="n">
        <f aca="false">SUMIFS(RESULTADOS!$F$2:$F$133, RESULTADOS!$A$2:$A$133, $A31)</f>
        <v>233014.89</v>
      </c>
      <c r="E31" s="14" t="n">
        <f aca="false">IFERROR(D31/B31, 0)</f>
        <v>0.682520167401833</v>
      </c>
      <c r="F31" s="12" t="n">
        <f aca="false">SUMIFS(RESULTADOS!$H$2:$H$133, RESULTADOS!$A$2:$A$133, $A31)</f>
        <v>5594</v>
      </c>
      <c r="G31" s="14" t="n">
        <f aca="false">IFERROR(F31/C31, 0)</f>
        <v>0.753299218960409</v>
      </c>
      <c r="H31" s="21" t="n">
        <f aca="false">SUMIFS(RESULTADOS!$L$2:$L$133, RESULTADOS!$A$2:$A$133, $A31)</f>
        <v>69.8074074074074</v>
      </c>
      <c r="I31" s="13" t="n">
        <f aca="false">SUMIFS(RESULTADOS!$M$2:$M$133, RESULTADOS!$A$2:$A$133, $A31)</f>
        <v>4014.39925925926</v>
      </c>
    </row>
    <row r="32" customFormat="false" ht="19.5" hidden="false" customHeight="true" outlineLevel="0" collapsed="false">
      <c r="A32" s="5" t="s">
        <v>31</v>
      </c>
      <c r="B32" s="7" t="n">
        <f aca="false">SUMIFS(RESULTADOS!$D$2:$D$133, RESULTADOS!$A$2:$A$133, $A32)</f>
        <v>132608</v>
      </c>
      <c r="C32" s="22" t="n">
        <f aca="false">SUMIFS(RESULTADOS!$E$2:$E$133, RESULTADOS!$A$2:$A$133, $A32)</f>
        <v>2800</v>
      </c>
      <c r="D32" s="7" t="n">
        <f aca="false">SUMIFS(RESULTADOS!$F$2:$F$133, RESULTADOS!$A$2:$A$133, $A32)</f>
        <v>46153.68</v>
      </c>
      <c r="E32" s="8" t="n">
        <f aca="false">IFERROR(D32/B32, 0)</f>
        <v>0.34804597007722</v>
      </c>
      <c r="F32" s="6" t="n">
        <f aca="false">SUMIFS(RESULTADOS!$H$2:$H$133, RESULTADOS!$A$2:$A$133, $A32)</f>
        <v>952</v>
      </c>
      <c r="G32" s="8" t="n">
        <f aca="false">IFERROR(F32/C32, 0)</f>
        <v>0.34</v>
      </c>
      <c r="H32" s="22" t="n">
        <f aca="false">SUMIFS(RESULTADOS!$L$2:$L$133, RESULTADOS!$A$2:$A$133, $A32)</f>
        <v>68.4444444444444</v>
      </c>
      <c r="I32" s="7" t="n">
        <f aca="false">SUMIFS(RESULTADOS!$M$2:$M$133, RESULTADOS!$A$2:$A$133, $A32)</f>
        <v>3202.01185185185</v>
      </c>
    </row>
    <row r="33" customFormat="false" ht="19.5" hidden="false" customHeight="true" outlineLevel="0" collapsed="false">
      <c r="A33" s="11" t="s">
        <v>32</v>
      </c>
      <c r="B33" s="13" t="n">
        <f aca="false">SUMIFS(RESULTADOS!$D$2:$D$133, RESULTADOS!$A$2:$A$133, $A33)</f>
        <v>38357.76384</v>
      </c>
      <c r="C33" s="21" t="n">
        <f aca="false">SUMIFS(RESULTADOS!$E$2:$E$133, RESULTADOS!$A$2:$A$133, $A33)</f>
        <v>599.94</v>
      </c>
      <c r="D33" s="13" t="n">
        <f aca="false">SUMIFS(RESULTADOS!$F$2:$F$133, RESULTADOS!$A$2:$A$133, $A33)</f>
        <v>26121.79</v>
      </c>
      <c r="E33" s="14" t="n">
        <f aca="false">IFERROR(D33/B33, 0)</f>
        <v>0.681003984198887</v>
      </c>
      <c r="F33" s="12" t="n">
        <f aca="false">SUMIFS(RESULTADOS!$H$2:$H$133, RESULTADOS!$A$2:$A$133, $A33)</f>
        <v>380</v>
      </c>
      <c r="G33" s="14" t="n">
        <f aca="false">IFERROR(F33/C33, 0)</f>
        <v>0.633396673000634</v>
      </c>
      <c r="H33" s="21" t="n">
        <f aca="false">SUMIFS(RESULTADOS!$L$2:$L$133, RESULTADOS!$A$2:$A$133, $A33)</f>
        <v>8.14592592592592</v>
      </c>
      <c r="I33" s="13" t="n">
        <f aca="false">SUMIFS(RESULTADOS!$M$2:$M$133, RESULTADOS!$A$2:$A$133, $A33)</f>
        <v>453.184216296296</v>
      </c>
    </row>
    <row r="34" customFormat="false" ht="21.75" hidden="false" customHeight="true" outlineLevel="0" collapsed="false">
      <c r="A34" s="17" t="s">
        <v>33</v>
      </c>
      <c r="B34" s="19" t="n">
        <f aca="false">SUM(B19:B33)</f>
        <v>1560417.21097818</v>
      </c>
      <c r="C34" s="23" t="n">
        <f aca="false">SUM(C19:C33)</f>
        <v>45019.9496969697</v>
      </c>
      <c r="D34" s="19" t="n">
        <f aca="false">SUM(D19:D33)</f>
        <v>1025572.46</v>
      </c>
      <c r="E34" s="20" t="n">
        <f aca="false">IFERROR(D34/B34, 0)</f>
        <v>0.657242468735075</v>
      </c>
      <c r="F34" s="18" t="n">
        <f aca="false">SUM(F19:F33)</f>
        <v>30286</v>
      </c>
      <c r="G34" s="20" t="n">
        <f aca="false">IFERROR(F34/C34, 0)</f>
        <v>0.672723985785319</v>
      </c>
      <c r="H34" s="23" t="n">
        <f aca="false">SUM(H19:H33)</f>
        <v>558.026581369248</v>
      </c>
      <c r="I34" s="19" t="n">
        <f aca="false">SUM(I19:I33)</f>
        <v>20370.5680714141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10" min="9" style="0" width="18"/>
    <col collapsed="false" customWidth="true" hidden="false" outlineLevel="0" max="11" min="11" style="0" width="17"/>
    <col collapsed="false" customWidth="true" hidden="false" outlineLevel="0" max="13" min="12" style="0" width="16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2"/>
  </cols>
  <sheetData>
    <row r="1" customFormat="false" ht="21.75" hidden="false" customHeight="true" outlineLevel="0" collapsed="false">
      <c r="A1" s="2" t="s">
        <v>2</v>
      </c>
      <c r="B1" s="2" t="s">
        <v>35</v>
      </c>
      <c r="C1" s="3" t="s">
        <v>42</v>
      </c>
      <c r="D1" s="3" t="s">
        <v>43</v>
      </c>
      <c r="E1" s="3" t="s">
        <v>44</v>
      </c>
      <c r="F1" s="3" t="s">
        <v>36</v>
      </c>
      <c r="G1" s="3" t="s">
        <v>45</v>
      </c>
      <c r="H1" s="3" t="s">
        <v>38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O1" s="24" t="s">
        <v>51</v>
      </c>
      <c r="P1" s="25" t="n">
        <v>3</v>
      </c>
      <c r="Q1" s="24" t="s">
        <v>52</v>
      </c>
      <c r="R1" s="25" t="n">
        <v>30</v>
      </c>
    </row>
    <row r="2" customFormat="false" ht="18.75" hidden="false" customHeight="true" outlineLevel="0" collapsed="false">
      <c r="A2" s="11" t="s">
        <v>17</v>
      </c>
      <c r="B2" s="16" t="s">
        <v>5</v>
      </c>
      <c r="C2" s="14" t="n">
        <f aca="false">IF(ISNUMBER(INDEX('METAS E PESOS'!$D$3:$N$17,MATCH($A2,'METAS E PESOS'!$A$3:$A$17,0),MATCH($B2,'METAS E PESOS'!$D$2:$N$2,0))),INDEX('METAS E PESOS'!$D$3:$N$17,MATCH($A2,'METAS E PESOS'!$A$3:$A$17,0),MATCH($B2,'METAS E PESOS'!$D$2:$N$2,0)),0)</f>
        <v>0.142</v>
      </c>
      <c r="D2" s="13" t="n">
        <f aca="false">INDEX('METAS E PESOS'!$C$3:$C$17,MATCH($A2,'METAS E PESOS'!$A$3:$A$17,0))*$C2</f>
        <v>2622.24584</v>
      </c>
      <c r="E2" s="21" t="n">
        <f aca="false">INDEX('METAS E PESOS'!$B$3:$B$17,MATCH($A2,'METAS E PESOS'!$A$3:$A$17,0))*$C2</f>
        <v>139.16</v>
      </c>
      <c r="F2" s="13" t="n">
        <f aca="false">SUMIFS(BASE_VENDAS!$E$2:$E$125,BASE_VENDAS!$A$2:$A$125,$A2,BASE_VENDAS!$C$2:$C$125,$B2)</f>
        <v>1124.2</v>
      </c>
      <c r="G2" s="14" t="n">
        <f aca="false">IFERROR($F2/$D2,0)</f>
        <v>0.4287164776282</v>
      </c>
      <c r="H2" s="12" t="n">
        <f aca="false">SUMIFS(BASE_VENDAS!$D$2:$D$125,BASE_VENDAS!$A$2:$A$125,$A2,BASE_VENDAS!$C$2:$C$125,$B2)</f>
        <v>64</v>
      </c>
      <c r="I2" s="14" t="n">
        <f aca="false">IFERROR($H2/$E2,0)</f>
        <v>0.459902270767462</v>
      </c>
      <c r="J2" s="13" t="n">
        <f aca="false">$F2/$P$1*$R$1</f>
        <v>11242</v>
      </c>
      <c r="K2" s="12" t="n">
        <f aca="false">$H2/$P$1*$R$1</f>
        <v>640</v>
      </c>
      <c r="L2" s="21" t="n">
        <f aca="false">IF((($E2-$H2)/($R$1-$P$1))&lt;0,0,($E2-$H2)/($R$1-$P$1))</f>
        <v>2.7837037037037</v>
      </c>
      <c r="M2" s="13" t="n">
        <f aca="false">IF((($D2-$F2)/($R$1-$P$1))&lt;0,0,($D2-$F2)/($R$1-$P$1))</f>
        <v>55.4831792592593</v>
      </c>
    </row>
    <row r="3" customFormat="false" ht="18.75" hidden="false" customHeight="true" outlineLevel="0" collapsed="false">
      <c r="A3" s="5" t="s">
        <v>17</v>
      </c>
      <c r="B3" s="9" t="s">
        <v>6</v>
      </c>
      <c r="C3" s="8" t="n">
        <f aca="false">IF(ISNUMBER(INDEX('METAS E PESOS'!$D$3:$N$17,MATCH($A3,'METAS E PESOS'!$A$3:$A$17,0),MATCH($B3,'METAS E PESOS'!$D$2:$N$2,0))),INDEX('METAS E PESOS'!$D$3:$N$17,MATCH($A3,'METAS E PESOS'!$A$3:$A$17,0),MATCH($B3,'METAS E PESOS'!$D$2:$N$2,0)),0)</f>
        <v>0.116</v>
      </c>
      <c r="D3" s="7" t="n">
        <f aca="false">INDEX('METAS E PESOS'!$C$3:$C$17,MATCH($A3,'METAS E PESOS'!$A$3:$A$17,0))*$C3</f>
        <v>2142.11632</v>
      </c>
      <c r="E3" s="22" t="n">
        <f aca="false">INDEX('METAS E PESOS'!$B$3:$B$17,MATCH($A3,'METAS E PESOS'!$A$3:$A$17,0))*$C3</f>
        <v>113.68</v>
      </c>
      <c r="F3" s="7" t="n">
        <f aca="false">SUMIFS(BASE_VENDAS!$E$2:$E$125,BASE_VENDAS!$A$2:$A$125,$A3,BASE_VENDAS!$C$2:$C$125,$B3)</f>
        <v>1302.45</v>
      </c>
      <c r="G3" s="8" t="n">
        <f aca="false">IFERROR($F3/$D3,0)</f>
        <v>0.608020203123237</v>
      </c>
      <c r="H3" s="6" t="n">
        <f aca="false">SUMIFS(BASE_VENDAS!$D$2:$D$125,BASE_VENDAS!$A$2:$A$125,$A3,BASE_VENDAS!$C$2:$C$125,$B3)</f>
        <v>74</v>
      </c>
      <c r="I3" s="8" t="n">
        <f aca="false">IFERROR($H3/$E3,0)</f>
        <v>0.650950035186488</v>
      </c>
      <c r="J3" s="7" t="n">
        <f aca="false">$F3/$P$1*$R$1</f>
        <v>13024.5</v>
      </c>
      <c r="K3" s="6" t="n">
        <f aca="false">$H3/$P$1*$R$1</f>
        <v>740</v>
      </c>
      <c r="L3" s="22" t="n">
        <f aca="false">IF((($E3-$H3)/($R$1-$P$1))&lt;0,0,($E3-$H3)/($R$1-$P$1))</f>
        <v>1.46962962962963</v>
      </c>
      <c r="M3" s="7" t="n">
        <f aca="false">IF((($D3-$F3)/($R$1-$P$1))&lt;0,0,($D3-$F3)/($R$1-$P$1))</f>
        <v>31.0987525925926</v>
      </c>
    </row>
    <row r="4" customFormat="false" ht="18.75" hidden="false" customHeight="true" outlineLevel="0" collapsed="false">
      <c r="A4" s="11" t="s">
        <v>17</v>
      </c>
      <c r="B4" s="16" t="s">
        <v>7</v>
      </c>
      <c r="C4" s="14" t="n">
        <f aca="false">IF(ISNUMBER(INDEX('METAS E PESOS'!$D$3:$N$17,MATCH($A4,'METAS E PESOS'!$A$3:$A$17,0),MATCH($B4,'METAS E PESOS'!$D$2:$N$2,0))),INDEX('METAS E PESOS'!$D$3:$N$17,MATCH($A4,'METAS E PESOS'!$A$3:$A$17,0),MATCH($B4,'METAS E PESOS'!$D$2:$N$2,0)),0)</f>
        <v>0.092</v>
      </c>
      <c r="D4" s="13" t="n">
        <f aca="false">INDEX('METAS E PESOS'!$C$3:$C$17,MATCH($A4,'METAS E PESOS'!$A$3:$A$17,0))*$C4</f>
        <v>1698.91984</v>
      </c>
      <c r="E4" s="21" t="n">
        <f aca="false">INDEX('METAS E PESOS'!$B$3:$B$17,MATCH($A4,'METAS E PESOS'!$A$3:$A$17,0))*$C4</f>
        <v>90.16</v>
      </c>
      <c r="F4" s="13" t="n">
        <f aca="false">SUMIFS(BASE_VENDAS!$E$2:$E$125,BASE_VENDAS!$A$2:$A$125,$A4,BASE_VENDAS!$C$2:$C$125,$B4)</f>
        <v>1508.31</v>
      </c>
      <c r="G4" s="14" t="n">
        <f aca="false">IFERROR($F4/$D4,0)</f>
        <v>0.887805277499143</v>
      </c>
      <c r="H4" s="12" t="n">
        <f aca="false">SUMIFS(BASE_VENDAS!$D$2:$D$125,BASE_VENDAS!$A$2:$A$125,$A4,BASE_VENDAS!$C$2:$C$125,$B4)</f>
        <v>76</v>
      </c>
      <c r="I4" s="14" t="n">
        <f aca="false">IFERROR($H4/$E4,0)</f>
        <v>0.842945874001775</v>
      </c>
      <c r="J4" s="13" t="n">
        <f aca="false">$F4/$P$1*$R$1</f>
        <v>15083.1</v>
      </c>
      <c r="K4" s="12" t="n">
        <f aca="false">$H4/$P$1*$R$1</f>
        <v>760</v>
      </c>
      <c r="L4" s="21" t="n">
        <f aca="false">IF((($E4-$H4)/($R$1-$P$1))&lt;0,0,($E4-$H4)/($R$1-$P$1))</f>
        <v>0.524444444444444</v>
      </c>
      <c r="M4" s="13" t="n">
        <f aca="false">IF((($D4-$F4)/($R$1-$P$1))&lt;0,0,($D4-$F4)/($R$1-$P$1))</f>
        <v>7.05962370370371</v>
      </c>
    </row>
    <row r="5" customFormat="false" ht="18.75" hidden="false" customHeight="true" outlineLevel="0" collapsed="false">
      <c r="A5" s="5" t="s">
        <v>17</v>
      </c>
      <c r="B5" s="9" t="s">
        <v>8</v>
      </c>
      <c r="C5" s="8" t="n">
        <f aca="false">IF(ISNUMBER(INDEX('METAS E PESOS'!$D$3:$N$17,MATCH($A5,'METAS E PESOS'!$A$3:$A$17,0),MATCH($B5,'METAS E PESOS'!$D$2:$N$2,0))),INDEX('METAS E PESOS'!$D$3:$N$17,MATCH($A5,'METAS E PESOS'!$A$3:$A$17,0),MATCH($B5,'METAS E PESOS'!$D$2:$N$2,0)),0)</f>
        <v>0.08</v>
      </c>
      <c r="D5" s="7" t="n">
        <f aca="false">INDEX('METAS E PESOS'!$C$3:$C$17,MATCH($A5,'METAS E PESOS'!$A$3:$A$17,0))*$C5</f>
        <v>1477.3216</v>
      </c>
      <c r="E5" s="22" t="n">
        <f aca="false">INDEX('METAS E PESOS'!$B$3:$B$17,MATCH($A5,'METAS E PESOS'!$A$3:$A$17,0))*$C5</f>
        <v>78.4</v>
      </c>
      <c r="F5" s="7" t="n">
        <f aca="false">SUMIFS(BASE_VENDAS!$E$2:$E$125,BASE_VENDAS!$A$2:$A$125,$A5,BASE_VENDAS!$C$2:$C$125,$B5)</f>
        <v>1787.2</v>
      </c>
      <c r="G5" s="8" t="n">
        <f aca="false">IFERROR($F5/$D5,0)</f>
        <v>1.20975690059632</v>
      </c>
      <c r="H5" s="6" t="n">
        <f aca="false">SUMIFS(BASE_VENDAS!$D$2:$D$125,BASE_VENDAS!$A$2:$A$125,$A5,BASE_VENDAS!$C$2:$C$125,$B5)</f>
        <v>96</v>
      </c>
      <c r="I5" s="8" t="n">
        <f aca="false">IFERROR($H5/$E5,0)</f>
        <v>1.22448979591837</v>
      </c>
      <c r="J5" s="7" t="n">
        <f aca="false">$F5/$P$1*$R$1</f>
        <v>17872</v>
      </c>
      <c r="K5" s="6" t="n">
        <f aca="false">$H5/$P$1*$R$1</f>
        <v>960</v>
      </c>
      <c r="L5" s="22" t="n">
        <f aca="false">IF((($E5-$H5)/($R$1-$P$1))&lt;0,0,($E5-$H5)/($R$1-$P$1))</f>
        <v>0</v>
      </c>
      <c r="M5" s="7" t="n">
        <f aca="false">IF((($D5-$F5)/($R$1-$P$1))&lt;0,0,($D5-$F5)/($R$1-$P$1))</f>
        <v>0</v>
      </c>
    </row>
    <row r="6" customFormat="false" ht="18.75" hidden="false" customHeight="true" outlineLevel="0" collapsed="false">
      <c r="A6" s="11" t="s">
        <v>17</v>
      </c>
      <c r="B6" s="16" t="s">
        <v>9</v>
      </c>
      <c r="C6" s="14" t="n">
        <f aca="false">IF(ISNUMBER(INDEX('METAS E PESOS'!$D$3:$N$17,MATCH($A6,'METAS E PESOS'!$A$3:$A$17,0),MATCH($B6,'METAS E PESOS'!$D$2:$N$2,0))),INDEX('METAS E PESOS'!$D$3:$N$17,MATCH($A6,'METAS E PESOS'!$A$3:$A$17,0),MATCH($B6,'METAS E PESOS'!$D$2:$N$2,0)),0)</f>
        <v>0.135</v>
      </c>
      <c r="D6" s="13" t="n">
        <f aca="false">INDEX('METAS E PESOS'!$C$3:$C$17,MATCH($A6,'METAS E PESOS'!$A$3:$A$17,0))*$C6</f>
        <v>2492.9802</v>
      </c>
      <c r="E6" s="21" t="n">
        <f aca="false">INDEX('METAS E PESOS'!$B$3:$B$17,MATCH($A6,'METAS E PESOS'!$A$3:$A$17,0))*$C6</f>
        <v>132.3</v>
      </c>
      <c r="F6" s="13" t="n">
        <f aca="false">SUMIFS(BASE_VENDAS!$E$2:$E$125,BASE_VENDAS!$A$2:$A$125,$A6,BASE_VENDAS!$C$2:$C$125,$B6)</f>
        <v>769.16</v>
      </c>
      <c r="G6" s="14" t="n">
        <f aca="false">IFERROR($F6/$D6,0)</f>
        <v>0.308530328479945</v>
      </c>
      <c r="H6" s="12" t="n">
        <f aca="false">SUMIFS(BASE_VENDAS!$D$2:$D$125,BASE_VENDAS!$A$2:$A$125,$A6,BASE_VENDAS!$C$2:$C$125,$B6)</f>
        <v>44</v>
      </c>
      <c r="I6" s="14" t="n">
        <f aca="false">IFERROR($H6/$E6,0)</f>
        <v>0.332577475434618</v>
      </c>
      <c r="J6" s="13" t="n">
        <f aca="false">$F6/$P$1*$R$1</f>
        <v>7691.6</v>
      </c>
      <c r="K6" s="12" t="n">
        <f aca="false">$H6/$P$1*$R$1</f>
        <v>440</v>
      </c>
      <c r="L6" s="21" t="n">
        <f aca="false">IF((($E6-$H6)/($R$1-$P$1))&lt;0,0,($E6-$H6)/($R$1-$P$1))</f>
        <v>3.27037037037037</v>
      </c>
      <c r="M6" s="13" t="n">
        <f aca="false">IF((($D6-$F6)/($R$1-$P$1))&lt;0,0,($D6-$F6)/($R$1-$P$1))</f>
        <v>63.8451925925926</v>
      </c>
    </row>
    <row r="7" customFormat="false" ht="18.75" hidden="false" customHeight="true" outlineLevel="0" collapsed="false">
      <c r="A7" s="5" t="s">
        <v>17</v>
      </c>
      <c r="B7" s="9" t="s">
        <v>10</v>
      </c>
      <c r="C7" s="8" t="n">
        <f aca="false">IF(ISNUMBER(INDEX('METAS E PESOS'!$D$3:$N$17,MATCH($A7,'METAS E PESOS'!$A$3:$A$17,0),MATCH($B7,'METAS E PESOS'!$D$2:$N$2,0))),INDEX('METAS E PESOS'!$D$3:$N$17,MATCH($A7,'METAS E PESOS'!$A$3:$A$17,0),MATCH($B7,'METAS E PESOS'!$D$2:$N$2,0)),0)</f>
        <v>0.161</v>
      </c>
      <c r="D7" s="7" t="n">
        <f aca="false">INDEX('METAS E PESOS'!$C$3:$C$17,MATCH($A7,'METAS E PESOS'!$A$3:$A$17,0))*$C7</f>
        <v>2973.10972</v>
      </c>
      <c r="E7" s="22" t="n">
        <f aca="false">INDEX('METAS E PESOS'!$B$3:$B$17,MATCH($A7,'METAS E PESOS'!$A$3:$A$17,0))*$C7</f>
        <v>157.78</v>
      </c>
      <c r="F7" s="7" t="n">
        <f aca="false">SUMIFS(BASE_VENDAS!$E$2:$E$125,BASE_VENDAS!$A$2:$A$125,$A7,BASE_VENDAS!$C$2:$C$125,$B7)</f>
        <v>1778.68</v>
      </c>
      <c r="G7" s="8" t="n">
        <f aca="false">IFERROR($F7/$D7,0)</f>
        <v>0.598255754920474</v>
      </c>
      <c r="H7" s="6" t="n">
        <f aca="false">SUMIFS(BASE_VENDAS!$D$2:$D$125,BASE_VENDAS!$A$2:$A$125,$A7,BASE_VENDAS!$C$2:$C$125,$B7)</f>
        <v>86</v>
      </c>
      <c r="I7" s="8" t="n">
        <f aca="false">IFERROR($H7/$E7,0)</f>
        <v>0.545062745595133</v>
      </c>
      <c r="J7" s="7" t="n">
        <f aca="false">$F7/$P$1*$R$1</f>
        <v>17786.8</v>
      </c>
      <c r="K7" s="6" t="n">
        <f aca="false">$H7/$P$1*$R$1</f>
        <v>860</v>
      </c>
      <c r="L7" s="22" t="n">
        <f aca="false">IF((($E7-$H7)/($R$1-$P$1))&lt;0,0,($E7-$H7)/($R$1-$P$1))</f>
        <v>2.65851851851852</v>
      </c>
      <c r="M7" s="7" t="n">
        <f aca="false">IF((($D7-$F7)/($R$1-$P$1))&lt;0,0,($D7-$F7)/($R$1-$P$1))</f>
        <v>44.2381377777778</v>
      </c>
    </row>
    <row r="8" customFormat="false" ht="18.75" hidden="false" customHeight="true" outlineLevel="0" collapsed="false">
      <c r="A8" s="11" t="s">
        <v>17</v>
      </c>
      <c r="B8" s="16" t="s">
        <v>11</v>
      </c>
      <c r="C8" s="14" t="n">
        <f aca="false">IF(ISNUMBER(INDEX('METAS E PESOS'!$D$3:$N$17,MATCH($A8,'METAS E PESOS'!$A$3:$A$17,0),MATCH($B8,'METAS E PESOS'!$D$2:$N$2,0))),INDEX('METAS E PESOS'!$D$3:$N$17,MATCH($A8,'METAS E PESOS'!$A$3:$A$17,0),MATCH($B8,'METAS E PESOS'!$D$2:$N$2,0)),0)</f>
        <v>0.059</v>
      </c>
      <c r="D8" s="13" t="n">
        <f aca="false">INDEX('METAS E PESOS'!$C$3:$C$17,MATCH($A8,'METAS E PESOS'!$A$3:$A$17,0))*$C8</f>
        <v>1089.52468</v>
      </c>
      <c r="E8" s="21" t="n">
        <f aca="false">INDEX('METAS E PESOS'!$B$3:$B$17,MATCH($A8,'METAS E PESOS'!$A$3:$A$17,0))*$C8</f>
        <v>57.82</v>
      </c>
      <c r="F8" s="13" t="n">
        <f aca="false">SUMIFS(BASE_VENDAS!$E$2:$E$125,BASE_VENDAS!$A$2:$A$125,$A8,BASE_VENDAS!$C$2:$C$125,$B8)</f>
        <v>623.83</v>
      </c>
      <c r="G8" s="14" t="n">
        <f aca="false">IFERROR($F8/$D8,0)</f>
        <v>0.572570783802713</v>
      </c>
      <c r="H8" s="12" t="n">
        <f aca="false">SUMIFS(BASE_VENDAS!$D$2:$D$125,BASE_VENDAS!$A$2:$A$125,$A8,BASE_VENDAS!$C$2:$C$125,$B8)</f>
        <v>36</v>
      </c>
      <c r="I8" s="14" t="n">
        <f aca="false">IFERROR($H8/$E8,0)</f>
        <v>0.622621930127983</v>
      </c>
      <c r="J8" s="13" t="n">
        <f aca="false">$F8/$P$1*$R$1</f>
        <v>6238.3</v>
      </c>
      <c r="K8" s="12" t="n">
        <f aca="false">$H8/$P$1*$R$1</f>
        <v>360</v>
      </c>
      <c r="L8" s="21" t="n">
        <f aca="false">IF((($E8-$H8)/($R$1-$P$1))&lt;0,0,($E8-$H8)/($R$1-$P$1))</f>
        <v>0.808148148148148</v>
      </c>
      <c r="M8" s="13" t="n">
        <f aca="false">IF((($D8-$F8)/($R$1-$P$1))&lt;0,0,($D8-$F8)/($R$1-$P$1))</f>
        <v>17.2479511111111</v>
      </c>
    </row>
    <row r="9" customFormat="false" ht="18.75" hidden="false" customHeight="true" outlineLevel="0" collapsed="false">
      <c r="A9" s="5" t="s">
        <v>17</v>
      </c>
      <c r="B9" s="9" t="s">
        <v>12</v>
      </c>
      <c r="C9" s="8" t="n">
        <f aca="false">IF(ISNUMBER(INDEX('METAS E PESOS'!$D$3:$N$17,MATCH($A9,'METAS E PESOS'!$A$3:$A$17,0),MATCH($B9,'METAS E PESOS'!$D$2:$N$2,0))),INDEX('METAS E PESOS'!$D$3:$N$17,MATCH($A9,'METAS E PESOS'!$A$3:$A$17,0),MATCH($B9,'METAS E PESOS'!$D$2:$N$2,0)),0)</f>
        <v>0.092</v>
      </c>
      <c r="D9" s="7" t="n">
        <f aca="false">INDEX('METAS E PESOS'!$C$3:$C$17,MATCH($A9,'METAS E PESOS'!$A$3:$A$17,0))*$C9</f>
        <v>1698.91984</v>
      </c>
      <c r="E9" s="22" t="n">
        <f aca="false">INDEX('METAS E PESOS'!$B$3:$B$17,MATCH($A9,'METAS E PESOS'!$A$3:$A$17,0))*$C9</f>
        <v>90.16</v>
      </c>
      <c r="F9" s="7" t="n">
        <f aca="false">SUMIFS(BASE_VENDAS!$E$2:$E$125,BASE_VENDAS!$A$2:$A$125,$A9,BASE_VENDAS!$C$2:$C$125,$B9)</f>
        <v>1872</v>
      </c>
      <c r="G9" s="8" t="n">
        <f aca="false">IFERROR($F9/$D9,0)</f>
        <v>1.10187659001027</v>
      </c>
      <c r="H9" s="6" t="n">
        <f aca="false">SUMIFS(BASE_VENDAS!$D$2:$D$125,BASE_VENDAS!$A$2:$A$125,$A9,BASE_VENDAS!$C$2:$C$125,$B9)</f>
        <v>90</v>
      </c>
      <c r="I9" s="8" t="n">
        <f aca="false">IFERROR($H9/$E9,0)</f>
        <v>0.998225377107365</v>
      </c>
      <c r="J9" s="7" t="n">
        <f aca="false">$F9/$P$1*$R$1</f>
        <v>18720</v>
      </c>
      <c r="K9" s="6" t="n">
        <f aca="false">$H9/$P$1*$R$1</f>
        <v>900</v>
      </c>
      <c r="L9" s="22" t="n">
        <f aca="false">IF((($E9-$H9)/($R$1-$P$1))&lt;0,0,($E9-$H9)/($R$1-$P$1))</f>
        <v>0.0059259259259258</v>
      </c>
      <c r="M9" s="7" t="n">
        <f aca="false">IF((($D9-$F9)/($R$1-$P$1))&lt;0,0,($D9-$F9)/($R$1-$P$1))</f>
        <v>0</v>
      </c>
    </row>
    <row r="10" customFormat="false" ht="18.75" hidden="false" customHeight="true" outlineLevel="0" collapsed="false">
      <c r="A10" s="11" t="s">
        <v>17</v>
      </c>
      <c r="B10" s="16" t="s">
        <v>13</v>
      </c>
      <c r="C10" s="14" t="n">
        <f aca="false">IF(ISNUMBER(INDEX('METAS E PESOS'!$D$3:$N$17,MATCH($A10,'METAS E PESOS'!$A$3:$A$17,0),MATCH($B10,'METAS E PESOS'!$D$2:$N$2,0))),INDEX('METAS E PESOS'!$D$3:$N$17,MATCH($A10,'METAS E PESOS'!$A$3:$A$17,0),MATCH($B10,'METAS E PESOS'!$D$2:$N$2,0)),0)</f>
        <v>0.059</v>
      </c>
      <c r="D10" s="13" t="n">
        <f aca="false">INDEX('METAS E PESOS'!$C$3:$C$17,MATCH($A10,'METAS E PESOS'!$A$3:$A$17,0))*$C10</f>
        <v>1089.52468</v>
      </c>
      <c r="E10" s="21" t="n">
        <f aca="false">INDEX('METAS E PESOS'!$B$3:$B$17,MATCH($A10,'METAS E PESOS'!$A$3:$A$17,0))*$C10</f>
        <v>57.82</v>
      </c>
      <c r="F10" s="13" t="n">
        <f aca="false">SUMIFS(BASE_VENDAS!$E$2:$E$125,BASE_VENDAS!$A$2:$A$125,$A10,BASE_VENDAS!$C$2:$C$125,$B10)</f>
        <v>867.84</v>
      </c>
      <c r="G10" s="14" t="n">
        <f aca="false">IFERROR($F10/$D10,0)</f>
        <v>0.796530832142325</v>
      </c>
      <c r="H10" s="12" t="n">
        <f aca="false">SUMIFS(BASE_VENDAS!$D$2:$D$125,BASE_VENDAS!$A$2:$A$125,$A10,BASE_VENDAS!$C$2:$C$125,$B10)</f>
        <v>40</v>
      </c>
      <c r="I10" s="14" t="n">
        <f aca="false">IFERROR($H10/$E10,0)</f>
        <v>0.691802144586648</v>
      </c>
      <c r="J10" s="13" t="n">
        <f aca="false">$F10/$P$1*$R$1</f>
        <v>8678.4</v>
      </c>
      <c r="K10" s="12" t="n">
        <f aca="false">$H10/$P$1*$R$1</f>
        <v>400</v>
      </c>
      <c r="L10" s="21" t="n">
        <f aca="false">IF((($E10-$H10)/($R$1-$P$1))&lt;0,0,($E10-$H10)/($R$1-$P$1))</f>
        <v>0.66</v>
      </c>
      <c r="M10" s="13" t="n">
        <f aca="false">IF((($D10-$F10)/($R$1-$P$1))&lt;0,0,($D10-$F10)/($R$1-$P$1))</f>
        <v>8.2105437037037</v>
      </c>
    </row>
    <row r="11" customFormat="false" ht="18.75" hidden="false" customHeight="true" outlineLevel="0" collapsed="false">
      <c r="A11" s="5" t="s">
        <v>17</v>
      </c>
      <c r="B11" s="9" t="s">
        <v>14</v>
      </c>
      <c r="C11" s="8" t="n">
        <f aca="false">IF(ISNUMBER(INDEX('METAS E PESOS'!$D$3:$N$17,MATCH($A11,'METAS E PESOS'!$A$3:$A$17,0),MATCH($B11,'METAS E PESOS'!$D$2:$N$2,0))),INDEX('METAS E PESOS'!$D$3:$N$17,MATCH($A11,'METAS E PESOS'!$A$3:$A$17,0),MATCH($B11,'METAS E PESOS'!$D$2:$N$2,0)),0)</f>
        <v>0.064</v>
      </c>
      <c r="D11" s="7" t="n">
        <f aca="false">INDEX('METAS E PESOS'!$C$3:$C$17,MATCH($A11,'METAS E PESOS'!$A$3:$A$17,0))*$C11</f>
        <v>1181.85728</v>
      </c>
      <c r="E11" s="22" t="n">
        <f aca="false">INDEX('METAS E PESOS'!$B$3:$B$17,MATCH($A11,'METAS E PESOS'!$A$3:$A$17,0))*$C11</f>
        <v>62.72</v>
      </c>
      <c r="F11" s="7" t="n">
        <f aca="false">SUMIFS(BASE_VENDAS!$E$2:$E$125,BASE_VENDAS!$A$2:$A$125,$A11,BASE_VENDAS!$C$2:$C$125,$B11)</f>
        <v>474.1</v>
      </c>
      <c r="G11" s="8" t="n">
        <f aca="false">IFERROR($F11/$D11,0)</f>
        <v>0.401148267242556</v>
      </c>
      <c r="H11" s="6" t="n">
        <f aca="false">SUMIFS(BASE_VENDAS!$D$2:$D$125,BASE_VENDAS!$A$2:$A$125,$A11,BASE_VENDAS!$C$2:$C$125,$B11)</f>
        <v>26</v>
      </c>
      <c r="I11" s="8" t="n">
        <f aca="false">IFERROR($H11/$E11,0)</f>
        <v>0.414540816326531</v>
      </c>
      <c r="J11" s="7" t="n">
        <f aca="false">$F11/$P$1*$R$1</f>
        <v>4741</v>
      </c>
      <c r="K11" s="6" t="n">
        <f aca="false">$H11/$P$1*$R$1</f>
        <v>260</v>
      </c>
      <c r="L11" s="22" t="n">
        <f aca="false">IF((($E11-$H11)/($R$1-$P$1))&lt;0,0,($E11-$H11)/($R$1-$P$1))</f>
        <v>1.36</v>
      </c>
      <c r="M11" s="7" t="n">
        <f aca="false">IF((($D11-$F11)/($R$1-$P$1))&lt;0,0,($D11-$F11)/($R$1-$P$1))</f>
        <v>26.2132325925926</v>
      </c>
    </row>
    <row r="12" customFormat="false" ht="18.75" hidden="false" customHeight="true" outlineLevel="0" collapsed="false">
      <c r="A12" s="11" t="s">
        <v>17</v>
      </c>
      <c r="B12" s="16" t="s">
        <v>15</v>
      </c>
      <c r="C12" s="14" t="n">
        <f aca="false">IF(ISNUMBER(INDEX('METAS E PESOS'!$D$3:$N$17,MATCH($A12,'METAS E PESOS'!$A$3:$A$17,0),MATCH($B12,'METAS E PESOS'!$D$2:$N$2,0))),INDEX('METAS E PESOS'!$D$3:$N$17,MATCH($A12,'METAS E PESOS'!$A$3:$A$17,0),MATCH($B12,'METAS E PESOS'!$D$2:$N$2,0)),0)</f>
        <v>0</v>
      </c>
      <c r="D12" s="13" t="n">
        <f aca="false">INDEX('METAS E PESOS'!$C$3:$C$17,MATCH($A12,'METAS E PESOS'!$A$3:$A$17,0))*$C12</f>
        <v>0</v>
      </c>
      <c r="E12" s="21" t="n">
        <f aca="false">INDEX('METAS E PESOS'!$B$3:$B$17,MATCH($A12,'METAS E PESOS'!$A$3:$A$17,0))*$C12</f>
        <v>0</v>
      </c>
      <c r="F12" s="13" t="n">
        <f aca="false">SUMIFS(BASE_VENDAS!$E$2:$E$125,BASE_VENDAS!$A$2:$A$125,$A12,BASE_VENDAS!$C$2:$C$125,$B12)</f>
        <v>686.59</v>
      </c>
      <c r="G12" s="14" t="n">
        <f aca="false">IFERROR($F12/$D12,0)</f>
        <v>0</v>
      </c>
      <c r="H12" s="12" t="n">
        <f aca="false">SUMIFS(BASE_VENDAS!$D$2:$D$125,BASE_VENDAS!$A$2:$A$125,$A12,BASE_VENDAS!$C$2:$C$125,$B12)</f>
        <v>32</v>
      </c>
      <c r="I12" s="14" t="n">
        <f aca="false">IFERROR($H12/$E12,0)</f>
        <v>0</v>
      </c>
      <c r="J12" s="13" t="n">
        <f aca="false">$F12/$P$1*$R$1</f>
        <v>6865.9</v>
      </c>
      <c r="K12" s="12" t="n">
        <f aca="false">$H12/$P$1*$R$1</f>
        <v>320</v>
      </c>
      <c r="L12" s="21" t="n">
        <f aca="false">IF((($E12-$H12)/($R$1-$P$1))&lt;0,0,($E12-$H12)/($R$1-$P$1))</f>
        <v>0</v>
      </c>
      <c r="M12" s="13" t="n">
        <f aca="false">IF((($D12-$F12)/($R$1-$P$1))&lt;0,0,($D12-$F12)/($R$1-$P$1))</f>
        <v>0</v>
      </c>
    </row>
    <row r="13" customFormat="false" ht="18.75" hidden="false" customHeight="true" outlineLevel="0" collapsed="false">
      <c r="A13" s="5" t="s">
        <v>18</v>
      </c>
      <c r="B13" s="9" t="s">
        <v>5</v>
      </c>
      <c r="C13" s="8" t="n">
        <f aca="false">IF(ISNUMBER(INDEX('METAS E PESOS'!$D$3:$N$17,MATCH($A13,'METAS E PESOS'!$A$3:$A$17,0),MATCH($B13,'METAS E PESOS'!$D$2:$N$2,0))),INDEX('METAS E PESOS'!$D$3:$N$17,MATCH($A13,'METAS E PESOS'!$A$3:$A$17,0),MATCH($B13,'METAS E PESOS'!$D$2:$N$2,0)),0)</f>
        <v>0.106</v>
      </c>
      <c r="D13" s="7" t="n">
        <f aca="false">INDEX('METAS E PESOS'!$C$3:$C$17,MATCH($A13,'METAS E PESOS'!$A$3:$A$17,0))*$C13</f>
        <v>17869.12702</v>
      </c>
      <c r="E13" s="22" t="n">
        <f aca="false">INDEX('METAS E PESOS'!$B$3:$B$17,MATCH($A13,'METAS E PESOS'!$A$3:$A$17,0))*$C13</f>
        <v>467.672</v>
      </c>
      <c r="F13" s="7" t="n">
        <f aca="false">SUMIFS(BASE_VENDAS!$E$2:$E$125,BASE_VENDAS!$A$2:$A$125,$A13,BASE_VENDAS!$C$2:$C$125,$B13)</f>
        <v>12572.54</v>
      </c>
      <c r="G13" s="8" t="n">
        <f aca="false">IFERROR($F13/$D13,0)</f>
        <v>0.703590051485347</v>
      </c>
      <c r="H13" s="6" t="n">
        <f aca="false">SUMIFS(BASE_VENDAS!$D$2:$D$125,BASE_VENDAS!$A$2:$A$125,$A13,BASE_VENDAS!$C$2:$C$125,$B13)</f>
        <v>334</v>
      </c>
      <c r="I13" s="8" t="n">
        <f aca="false">IFERROR($H13/$E13,0)</f>
        <v>0.714175747104809</v>
      </c>
      <c r="J13" s="7" t="n">
        <f aca="false">$F13/$P$1*$R$1</f>
        <v>125725.4</v>
      </c>
      <c r="K13" s="6" t="n">
        <f aca="false">$H13/$P$1*$R$1</f>
        <v>3340</v>
      </c>
      <c r="L13" s="22" t="n">
        <f aca="false">IF((($E13-$H13)/($R$1-$P$1))&lt;0,0,($E13-$H13)/($R$1-$P$1))</f>
        <v>4.95081481481481</v>
      </c>
      <c r="M13" s="7" t="n">
        <f aca="false">IF((($D13-$F13)/($R$1-$P$1))&lt;0,0,($D13-$F13)/($R$1-$P$1))</f>
        <v>196.16988962963</v>
      </c>
    </row>
    <row r="14" customFormat="false" ht="18.75" hidden="false" customHeight="true" outlineLevel="0" collapsed="false">
      <c r="A14" s="11" t="s">
        <v>18</v>
      </c>
      <c r="B14" s="16" t="s">
        <v>6</v>
      </c>
      <c r="C14" s="14" t="n">
        <f aca="false">IF(ISNUMBER(INDEX('METAS E PESOS'!$D$3:$N$17,MATCH($A14,'METAS E PESOS'!$A$3:$A$17,0),MATCH($B14,'METAS E PESOS'!$D$2:$N$2,0))),INDEX('METAS E PESOS'!$D$3:$N$17,MATCH($A14,'METAS E PESOS'!$A$3:$A$17,0),MATCH($B14,'METAS E PESOS'!$D$2:$N$2,0)),0)</f>
        <v>0.074</v>
      </c>
      <c r="D14" s="13" t="n">
        <f aca="false">INDEX('METAS E PESOS'!$C$3:$C$17,MATCH($A14,'METAS E PESOS'!$A$3:$A$17,0))*$C14</f>
        <v>12474.67358</v>
      </c>
      <c r="E14" s="21" t="n">
        <f aca="false">INDEX('METAS E PESOS'!$B$3:$B$17,MATCH($A14,'METAS E PESOS'!$A$3:$A$17,0))*$C14</f>
        <v>326.488</v>
      </c>
      <c r="F14" s="13" t="n">
        <f aca="false">SUMIFS(BASE_VENDAS!$E$2:$E$125,BASE_VENDAS!$A$2:$A$125,$A14,BASE_VENDAS!$C$2:$C$125,$B14)</f>
        <v>7256.79</v>
      </c>
      <c r="G14" s="14" t="n">
        <f aca="false">IFERROR($F14/$D14,0)</f>
        <v>0.581721834520339</v>
      </c>
      <c r="H14" s="12" t="n">
        <f aca="false">SUMIFS(BASE_VENDAS!$D$2:$D$125,BASE_VENDAS!$A$2:$A$125,$A14,BASE_VENDAS!$C$2:$C$125,$B14)</f>
        <v>172</v>
      </c>
      <c r="I14" s="14" t="n">
        <f aca="false">IFERROR($H14/$E14,0)</f>
        <v>0.526818749846855</v>
      </c>
      <c r="J14" s="13" t="n">
        <f aca="false">$F14/$P$1*$R$1</f>
        <v>72567.9</v>
      </c>
      <c r="K14" s="12" t="n">
        <f aca="false">$H14/$P$1*$R$1</f>
        <v>1720</v>
      </c>
      <c r="L14" s="21" t="n">
        <f aca="false">IF((($E14-$H14)/($R$1-$P$1))&lt;0,0,($E14-$H14)/($R$1-$P$1))</f>
        <v>5.72177777777778</v>
      </c>
      <c r="M14" s="13" t="n">
        <f aca="false">IF((($D14-$F14)/($R$1-$P$1))&lt;0,0,($D14-$F14)/($R$1-$P$1))</f>
        <v>193.254947407407</v>
      </c>
    </row>
    <row r="15" customFormat="false" ht="18.75" hidden="false" customHeight="true" outlineLevel="0" collapsed="false">
      <c r="A15" s="5" t="s">
        <v>18</v>
      </c>
      <c r="B15" s="9" t="s">
        <v>7</v>
      </c>
      <c r="C15" s="8" t="n">
        <f aca="false">IF(ISNUMBER(INDEX('METAS E PESOS'!$D$3:$N$17,MATCH($A15,'METAS E PESOS'!$A$3:$A$17,0),MATCH($B15,'METAS E PESOS'!$D$2:$N$2,0))),INDEX('METAS E PESOS'!$D$3:$N$17,MATCH($A15,'METAS E PESOS'!$A$3:$A$17,0),MATCH($B15,'METAS E PESOS'!$D$2:$N$2,0)),0)</f>
        <v>0.105</v>
      </c>
      <c r="D15" s="7" t="n">
        <f aca="false">INDEX('METAS E PESOS'!$C$3:$C$17,MATCH($A15,'METAS E PESOS'!$A$3:$A$17,0))*$C15</f>
        <v>17700.55035</v>
      </c>
      <c r="E15" s="22" t="n">
        <f aca="false">INDEX('METAS E PESOS'!$B$3:$B$17,MATCH($A15,'METAS E PESOS'!$A$3:$A$17,0))*$C15</f>
        <v>463.26</v>
      </c>
      <c r="F15" s="7" t="n">
        <f aca="false">SUMIFS(BASE_VENDAS!$E$2:$E$125,BASE_VENDAS!$A$2:$A$125,$A15,BASE_VENDAS!$C$2:$C$125,$B15)</f>
        <v>20224.96</v>
      </c>
      <c r="G15" s="8" t="n">
        <f aca="false">IFERROR($F15/$D15,0)</f>
        <v>1.14261757968446</v>
      </c>
      <c r="H15" s="6" t="n">
        <f aca="false">SUMIFS(BASE_VENDAS!$D$2:$D$125,BASE_VENDAS!$A$2:$A$125,$A15,BASE_VENDAS!$C$2:$C$125,$B15)</f>
        <v>486</v>
      </c>
      <c r="I15" s="8" t="n">
        <f aca="false">IFERROR($H15/$E15,0)</f>
        <v>1.04908690584121</v>
      </c>
      <c r="J15" s="7" t="n">
        <f aca="false">$F15/$P$1*$R$1</f>
        <v>202249.6</v>
      </c>
      <c r="K15" s="6" t="n">
        <f aca="false">$H15/$P$1*$R$1</f>
        <v>4860</v>
      </c>
      <c r="L15" s="22" t="n">
        <f aca="false">IF((($E15-$H15)/($R$1-$P$1))&lt;0,0,($E15-$H15)/($R$1-$P$1))</f>
        <v>0</v>
      </c>
      <c r="M15" s="7" t="n">
        <f aca="false">IF((($D15-$F15)/($R$1-$P$1))&lt;0,0,($D15-$F15)/($R$1-$P$1))</f>
        <v>0</v>
      </c>
    </row>
    <row r="16" customFormat="false" ht="18.75" hidden="false" customHeight="true" outlineLevel="0" collapsed="false">
      <c r="A16" s="11" t="s">
        <v>18</v>
      </c>
      <c r="B16" s="16" t="s">
        <v>8</v>
      </c>
      <c r="C16" s="14" t="n">
        <f aca="false">IF(ISNUMBER(INDEX('METAS E PESOS'!$D$3:$N$17,MATCH($A16,'METAS E PESOS'!$A$3:$A$17,0),MATCH($B16,'METAS E PESOS'!$D$2:$N$2,0))),INDEX('METAS E PESOS'!$D$3:$N$17,MATCH($A16,'METAS E PESOS'!$A$3:$A$17,0),MATCH($B16,'METAS E PESOS'!$D$2:$N$2,0)),0)</f>
        <v>0.04</v>
      </c>
      <c r="D16" s="13" t="n">
        <f aca="false">INDEX('METAS E PESOS'!$C$3:$C$17,MATCH($A16,'METAS E PESOS'!$A$3:$A$17,0))*$C16</f>
        <v>6743.0668</v>
      </c>
      <c r="E16" s="21" t="n">
        <f aca="false">INDEX('METAS E PESOS'!$B$3:$B$17,MATCH($A16,'METAS E PESOS'!$A$3:$A$17,0))*$C16</f>
        <v>176.48</v>
      </c>
      <c r="F16" s="13" t="n">
        <f aca="false">SUMIFS(BASE_VENDAS!$E$2:$E$125,BASE_VENDAS!$A$2:$A$125,$A16,BASE_VENDAS!$C$2:$C$125,$B16)</f>
        <v>2846.89</v>
      </c>
      <c r="G16" s="14" t="n">
        <f aca="false">IFERROR($F16/$D16,0)</f>
        <v>0.422195135305496</v>
      </c>
      <c r="H16" s="12" t="n">
        <f aca="false">SUMIFS(BASE_VENDAS!$D$2:$D$125,BASE_VENDAS!$A$2:$A$125,$A16,BASE_VENDAS!$C$2:$C$125,$B16)</f>
        <v>86</v>
      </c>
      <c r="I16" s="14" t="n">
        <f aca="false">IFERROR($H16/$E16,0)</f>
        <v>0.487307343608341</v>
      </c>
      <c r="J16" s="13" t="n">
        <f aca="false">$F16/$P$1*$R$1</f>
        <v>28468.9</v>
      </c>
      <c r="K16" s="12" t="n">
        <f aca="false">$H16/$P$1*$R$1</f>
        <v>860</v>
      </c>
      <c r="L16" s="21" t="n">
        <f aca="false">IF((($E16-$H16)/($R$1-$P$1))&lt;0,0,($E16-$H16)/($R$1-$P$1))</f>
        <v>3.35111111111111</v>
      </c>
      <c r="M16" s="13" t="n">
        <f aca="false">IF((($D16-$F16)/($R$1-$P$1))&lt;0,0,($D16-$F16)/($R$1-$P$1))</f>
        <v>144.302844444444</v>
      </c>
    </row>
    <row r="17" customFormat="false" ht="18.75" hidden="false" customHeight="true" outlineLevel="0" collapsed="false">
      <c r="A17" s="5" t="s">
        <v>18</v>
      </c>
      <c r="B17" s="9" t="s">
        <v>9</v>
      </c>
      <c r="C17" s="8" t="n">
        <f aca="false">IF(ISNUMBER(INDEX('METAS E PESOS'!$D$3:$N$17,MATCH($A17,'METAS E PESOS'!$A$3:$A$17,0),MATCH($B17,'METAS E PESOS'!$D$2:$N$2,0))),INDEX('METAS E PESOS'!$D$3:$N$17,MATCH($A17,'METAS E PESOS'!$A$3:$A$17,0),MATCH($B17,'METAS E PESOS'!$D$2:$N$2,0)),0)</f>
        <v>0.1129</v>
      </c>
      <c r="D17" s="7" t="n">
        <f aca="false">INDEX('METAS E PESOS'!$C$3:$C$17,MATCH($A17,'METAS E PESOS'!$A$3:$A$17,0))*$C17</f>
        <v>19032.306043</v>
      </c>
      <c r="E17" s="22" t="n">
        <f aca="false">INDEX('METAS E PESOS'!$B$3:$B$17,MATCH($A17,'METAS E PESOS'!$A$3:$A$17,0))*$C17</f>
        <v>498.1148</v>
      </c>
      <c r="F17" s="7" t="n">
        <f aca="false">SUMIFS(BASE_VENDAS!$E$2:$E$125,BASE_VENDAS!$A$2:$A$125,$A17,BASE_VENDAS!$C$2:$C$125,$B17)</f>
        <v>12943.8</v>
      </c>
      <c r="G17" s="8" t="n">
        <f aca="false">IFERROR($F17/$D17,0)</f>
        <v>0.680096251644749</v>
      </c>
      <c r="H17" s="6" t="n">
        <f aca="false">SUMIFS(BASE_VENDAS!$D$2:$D$125,BASE_VENDAS!$A$2:$A$125,$A17,BASE_VENDAS!$C$2:$C$125,$B17)</f>
        <v>338</v>
      </c>
      <c r="I17" s="8" t="n">
        <f aca="false">IFERROR($H17/$E17,0)</f>
        <v>0.678558436729846</v>
      </c>
      <c r="J17" s="7" t="n">
        <f aca="false">$F17/$P$1*$R$1</f>
        <v>129438</v>
      </c>
      <c r="K17" s="6" t="n">
        <f aca="false">$H17/$P$1*$R$1</f>
        <v>3380</v>
      </c>
      <c r="L17" s="22" t="n">
        <f aca="false">IF((($E17-$H17)/($R$1-$P$1))&lt;0,0,($E17-$H17)/($R$1-$P$1))</f>
        <v>5.93017777777778</v>
      </c>
      <c r="M17" s="7" t="n">
        <f aca="false">IF((($D17-$F17)/($R$1-$P$1))&lt;0,0,($D17-$F17)/($R$1-$P$1))</f>
        <v>225.500223814815</v>
      </c>
    </row>
    <row r="18" customFormat="false" ht="18.75" hidden="false" customHeight="true" outlineLevel="0" collapsed="false">
      <c r="A18" s="11" t="s">
        <v>18</v>
      </c>
      <c r="B18" s="16" t="s">
        <v>10</v>
      </c>
      <c r="C18" s="14" t="n">
        <f aca="false">IF(ISNUMBER(INDEX('METAS E PESOS'!$D$3:$N$17,MATCH($A18,'METAS E PESOS'!$A$3:$A$17,0),MATCH($B18,'METAS E PESOS'!$D$2:$N$2,0))),INDEX('METAS E PESOS'!$D$3:$N$17,MATCH($A18,'METAS E PESOS'!$A$3:$A$17,0),MATCH($B18,'METAS E PESOS'!$D$2:$N$2,0)),0)</f>
        <v>0.1115</v>
      </c>
      <c r="D18" s="13" t="n">
        <f aca="false">INDEX('METAS E PESOS'!$C$3:$C$17,MATCH($A18,'METAS E PESOS'!$A$3:$A$17,0))*$C18</f>
        <v>18796.298705</v>
      </c>
      <c r="E18" s="21" t="n">
        <f aca="false">INDEX('METAS E PESOS'!$B$3:$B$17,MATCH($A18,'METAS E PESOS'!$A$3:$A$17,0))*$C18</f>
        <v>491.938</v>
      </c>
      <c r="F18" s="13" t="n">
        <f aca="false">SUMIFS(BASE_VENDAS!$E$2:$E$125,BASE_VENDAS!$A$2:$A$125,$A18,BASE_VENDAS!$C$2:$C$125,$B18)</f>
        <v>15066.34</v>
      </c>
      <c r="G18" s="14" t="n">
        <f aca="false">IFERROR($F18/$D18,0)</f>
        <v>0.801558872651465</v>
      </c>
      <c r="H18" s="12" t="n">
        <f aca="false">SUMIFS(BASE_VENDAS!$D$2:$D$125,BASE_VENDAS!$A$2:$A$125,$A18,BASE_VENDAS!$C$2:$C$125,$B18)</f>
        <v>344</v>
      </c>
      <c r="I18" s="14" t="n">
        <f aca="false">IFERROR($H18/$E18,0)</f>
        <v>0.699275111904346</v>
      </c>
      <c r="J18" s="13" t="n">
        <f aca="false">$F18/$P$1*$R$1</f>
        <v>150663.4</v>
      </c>
      <c r="K18" s="12" t="n">
        <f aca="false">$H18/$P$1*$R$1</f>
        <v>3440</v>
      </c>
      <c r="L18" s="21" t="n">
        <f aca="false">IF((($E18-$H18)/($R$1-$P$1))&lt;0,0,($E18-$H18)/($R$1-$P$1))</f>
        <v>5.47918518518519</v>
      </c>
      <c r="M18" s="13" t="n">
        <f aca="false">IF((($D18-$F18)/($R$1-$P$1))&lt;0,0,($D18-$F18)/($R$1-$P$1))</f>
        <v>138.146618703704</v>
      </c>
    </row>
    <row r="19" customFormat="false" ht="18.75" hidden="false" customHeight="true" outlineLevel="0" collapsed="false">
      <c r="A19" s="5" t="s">
        <v>18</v>
      </c>
      <c r="B19" s="9" t="s">
        <v>11</v>
      </c>
      <c r="C19" s="8" t="n">
        <f aca="false">IF(ISNUMBER(INDEX('METAS E PESOS'!$D$3:$N$17,MATCH($A19,'METAS E PESOS'!$A$3:$A$17,0),MATCH($B19,'METAS E PESOS'!$D$2:$N$2,0))),INDEX('METAS E PESOS'!$D$3:$N$17,MATCH($A19,'METAS E PESOS'!$A$3:$A$17,0),MATCH($B19,'METAS E PESOS'!$D$2:$N$2,0)),0)</f>
        <v>0.051</v>
      </c>
      <c r="D19" s="7" t="n">
        <f aca="false">INDEX('METAS E PESOS'!$C$3:$C$17,MATCH($A19,'METAS E PESOS'!$A$3:$A$17,0))*$C19</f>
        <v>8597.41017</v>
      </c>
      <c r="E19" s="22" t="n">
        <f aca="false">INDEX('METAS E PESOS'!$B$3:$B$17,MATCH($A19,'METAS E PESOS'!$A$3:$A$17,0))*$C19</f>
        <v>225.012</v>
      </c>
      <c r="F19" s="7" t="n">
        <f aca="false">SUMIFS(BASE_VENDAS!$E$2:$E$125,BASE_VENDAS!$A$2:$A$125,$A19,BASE_VENDAS!$C$2:$C$125,$B19)</f>
        <v>6469.31</v>
      </c>
      <c r="G19" s="8" t="n">
        <f aca="false">IFERROR($F19/$D19,0)</f>
        <v>0.752471950515303</v>
      </c>
      <c r="H19" s="6" t="n">
        <f aca="false">SUMIFS(BASE_VENDAS!$D$2:$D$125,BASE_VENDAS!$A$2:$A$125,$A19,BASE_VENDAS!$C$2:$C$125,$B19)</f>
        <v>164</v>
      </c>
      <c r="I19" s="8" t="n">
        <f aca="false">IFERROR($H19/$E19,0)</f>
        <v>0.728850016887988</v>
      </c>
      <c r="J19" s="7" t="n">
        <f aca="false">$F19/$P$1*$R$1</f>
        <v>64693.1</v>
      </c>
      <c r="K19" s="6" t="n">
        <f aca="false">$H19/$P$1*$R$1</f>
        <v>1640</v>
      </c>
      <c r="L19" s="22" t="n">
        <f aca="false">IF((($E19-$H19)/($R$1-$P$1))&lt;0,0,($E19-$H19)/($R$1-$P$1))</f>
        <v>2.2597037037037</v>
      </c>
      <c r="M19" s="7" t="n">
        <f aca="false">IF((($D19-$F19)/($R$1-$P$1))&lt;0,0,($D19-$F19)/($R$1-$P$1))</f>
        <v>78.8185248148148</v>
      </c>
    </row>
    <row r="20" customFormat="false" ht="18.75" hidden="false" customHeight="true" outlineLevel="0" collapsed="false">
      <c r="A20" s="11" t="s">
        <v>18</v>
      </c>
      <c r="B20" s="16" t="s">
        <v>12</v>
      </c>
      <c r="C20" s="14" t="n">
        <f aca="false">IF(ISNUMBER(INDEX('METAS E PESOS'!$D$3:$N$17,MATCH($A20,'METAS E PESOS'!$A$3:$A$17,0),MATCH($B20,'METAS E PESOS'!$D$2:$N$2,0))),INDEX('METAS E PESOS'!$D$3:$N$17,MATCH($A20,'METAS E PESOS'!$A$3:$A$17,0),MATCH($B20,'METAS E PESOS'!$D$2:$N$2,0)),0)</f>
        <v>0.197</v>
      </c>
      <c r="D20" s="13" t="n">
        <f aca="false">INDEX('METAS E PESOS'!$C$3:$C$17,MATCH($A20,'METAS E PESOS'!$A$3:$A$17,0))*$C20</f>
        <v>33209.60399</v>
      </c>
      <c r="E20" s="21" t="n">
        <f aca="false">INDEX('METAS E PESOS'!$B$3:$B$17,MATCH($A20,'METAS E PESOS'!$A$3:$A$17,0))*$C20</f>
        <v>869.164</v>
      </c>
      <c r="F20" s="13" t="n">
        <f aca="false">SUMIFS(BASE_VENDAS!$E$2:$E$125,BASE_VENDAS!$A$2:$A$125,$A20,BASE_VENDAS!$C$2:$C$125,$B20)</f>
        <v>24001.87</v>
      </c>
      <c r="G20" s="14" t="n">
        <f aca="false">IFERROR($F20/$D20,0)</f>
        <v>0.722738819987958</v>
      </c>
      <c r="H20" s="12" t="n">
        <f aca="false">SUMIFS(BASE_VENDAS!$D$2:$D$125,BASE_VENDAS!$A$2:$A$125,$A20,BASE_VENDAS!$C$2:$C$125,$B20)</f>
        <v>694</v>
      </c>
      <c r="I20" s="14" t="n">
        <f aca="false">IFERROR($H20/$E20,0)</f>
        <v>0.798468413325909</v>
      </c>
      <c r="J20" s="13" t="n">
        <f aca="false">$F20/$P$1*$R$1</f>
        <v>240018.7</v>
      </c>
      <c r="K20" s="12" t="n">
        <f aca="false">$H20/$P$1*$R$1</f>
        <v>6940</v>
      </c>
      <c r="L20" s="21" t="n">
        <f aca="false">IF((($E20-$H20)/($R$1-$P$1))&lt;0,0,($E20-$H20)/($R$1-$P$1))</f>
        <v>6.48755555555556</v>
      </c>
      <c r="M20" s="13" t="n">
        <f aca="false">IF((($D20-$F20)/($R$1-$P$1))&lt;0,0,($D20-$F20)/($R$1-$P$1))</f>
        <v>341.027184814815</v>
      </c>
    </row>
    <row r="21" customFormat="false" ht="18.75" hidden="false" customHeight="true" outlineLevel="0" collapsed="false">
      <c r="A21" s="5" t="s">
        <v>18</v>
      </c>
      <c r="B21" s="9" t="s">
        <v>13</v>
      </c>
      <c r="C21" s="8" t="n">
        <f aca="false">IF(ISNUMBER(INDEX('METAS E PESOS'!$D$3:$N$17,MATCH($A21,'METAS E PESOS'!$A$3:$A$17,0),MATCH($B21,'METAS E PESOS'!$D$2:$N$2,0))),INDEX('METAS E PESOS'!$D$3:$N$17,MATCH($A21,'METAS E PESOS'!$A$3:$A$17,0),MATCH($B21,'METAS E PESOS'!$D$2:$N$2,0)),0)</f>
        <v>0.057</v>
      </c>
      <c r="D21" s="7" t="n">
        <f aca="false">INDEX('METAS E PESOS'!$C$3:$C$17,MATCH($A21,'METAS E PESOS'!$A$3:$A$17,0))*$C21</f>
        <v>9608.87019</v>
      </c>
      <c r="E21" s="22" t="n">
        <f aca="false">INDEX('METAS E PESOS'!$B$3:$B$17,MATCH($A21,'METAS E PESOS'!$A$3:$A$17,0))*$C21</f>
        <v>251.484</v>
      </c>
      <c r="F21" s="7" t="n">
        <f aca="false">SUMIFS(BASE_VENDAS!$E$2:$E$125,BASE_VENDAS!$A$2:$A$125,$A21,BASE_VENDAS!$C$2:$C$125,$B21)</f>
        <v>3385.93</v>
      </c>
      <c r="G21" s="8" t="n">
        <f aca="false">IFERROR($F21/$D21,0)</f>
        <v>0.352375454454963</v>
      </c>
      <c r="H21" s="6" t="n">
        <f aca="false">SUMIFS(BASE_VENDAS!$D$2:$D$125,BASE_VENDAS!$A$2:$A$125,$A21,BASE_VENDAS!$C$2:$C$125,$B21)</f>
        <v>104</v>
      </c>
      <c r="I21" s="8" t="n">
        <f aca="false">IFERROR($H21/$E21,0)</f>
        <v>0.413545195718217</v>
      </c>
      <c r="J21" s="7" t="n">
        <f aca="false">$F21/$P$1*$R$1</f>
        <v>33859.3</v>
      </c>
      <c r="K21" s="6" t="n">
        <f aca="false">$H21/$P$1*$R$1</f>
        <v>1040</v>
      </c>
      <c r="L21" s="22" t="n">
        <f aca="false">IF((($E21-$H21)/($R$1-$P$1))&lt;0,0,($E21-$H21)/($R$1-$P$1))</f>
        <v>5.46237037037037</v>
      </c>
      <c r="M21" s="7" t="n">
        <f aca="false">IF((($D21-$F21)/($R$1-$P$1))&lt;0,0,($D21-$F21)/($R$1-$P$1))</f>
        <v>230.479266296296</v>
      </c>
    </row>
    <row r="22" customFormat="false" ht="18.75" hidden="false" customHeight="true" outlineLevel="0" collapsed="false">
      <c r="A22" s="11" t="s">
        <v>18</v>
      </c>
      <c r="B22" s="16" t="s">
        <v>14</v>
      </c>
      <c r="C22" s="14" t="n">
        <f aca="false">IF(ISNUMBER(INDEX('METAS E PESOS'!$D$3:$N$17,MATCH($A22,'METAS E PESOS'!$A$3:$A$17,0),MATCH($B22,'METAS E PESOS'!$D$2:$N$2,0))),INDEX('METAS E PESOS'!$D$3:$N$17,MATCH($A22,'METAS E PESOS'!$A$3:$A$17,0),MATCH($B22,'METAS E PESOS'!$D$2:$N$2,0)),0)</f>
        <v>0.06</v>
      </c>
      <c r="D22" s="13" t="n">
        <f aca="false">INDEX('METAS E PESOS'!$C$3:$C$17,MATCH($A22,'METAS E PESOS'!$A$3:$A$17,0))*$C22</f>
        <v>10114.6002</v>
      </c>
      <c r="E22" s="21" t="n">
        <f aca="false">INDEX('METAS E PESOS'!$B$3:$B$17,MATCH($A22,'METAS E PESOS'!$A$3:$A$17,0))*$C22</f>
        <v>264.72</v>
      </c>
      <c r="F22" s="13" t="n">
        <f aca="false">SUMIFS(BASE_VENDAS!$E$2:$E$125,BASE_VENDAS!$A$2:$A$125,$A22,BASE_VENDAS!$C$2:$C$125,$B22)</f>
        <v>7051.94</v>
      </c>
      <c r="G22" s="14" t="n">
        <f aca="false">IFERROR($F22/$D22,0)</f>
        <v>0.697204027896229</v>
      </c>
      <c r="H22" s="12" t="n">
        <f aca="false">SUMIFS(BASE_VENDAS!$D$2:$D$125,BASE_VENDAS!$A$2:$A$125,$A22,BASE_VENDAS!$C$2:$C$125,$B22)</f>
        <v>190</v>
      </c>
      <c r="I22" s="14" t="n">
        <f aca="false">IFERROR($H22/$E22,0)</f>
        <v>0.717739498337867</v>
      </c>
      <c r="J22" s="13" t="n">
        <f aca="false">$F22/$P$1*$R$1</f>
        <v>70519.4</v>
      </c>
      <c r="K22" s="12" t="n">
        <f aca="false">$H22/$P$1*$R$1</f>
        <v>1900</v>
      </c>
      <c r="L22" s="21" t="n">
        <f aca="false">IF((($E22-$H22)/($R$1-$P$1))&lt;0,0,($E22-$H22)/($R$1-$P$1))</f>
        <v>2.76740740740741</v>
      </c>
      <c r="M22" s="13" t="n">
        <f aca="false">IF((($D22-$F22)/($R$1-$P$1))&lt;0,0,($D22-$F22)/($R$1-$P$1))</f>
        <v>113.431859259259</v>
      </c>
    </row>
    <row r="23" customFormat="false" ht="18.75" hidden="false" customHeight="true" outlineLevel="0" collapsed="false">
      <c r="A23" s="5" t="s">
        <v>18</v>
      </c>
      <c r="B23" s="9" t="s">
        <v>15</v>
      </c>
      <c r="C23" s="8" t="n">
        <f aca="false">IF(ISNUMBER(INDEX('METAS E PESOS'!$D$3:$N$17,MATCH($A23,'METAS E PESOS'!$A$3:$A$17,0),MATCH($B23,'METAS E PESOS'!$D$2:$N$2,0))),INDEX('METAS E PESOS'!$D$3:$N$17,MATCH($A23,'METAS E PESOS'!$A$3:$A$17,0),MATCH($B23,'METAS E PESOS'!$D$2:$N$2,0)),0)</f>
        <v>0.0856</v>
      </c>
      <c r="D23" s="7" t="n">
        <f aca="false">INDEX('METAS E PESOS'!$C$3:$C$17,MATCH($A23,'METAS E PESOS'!$A$3:$A$17,0))*$C23</f>
        <v>14430.162952</v>
      </c>
      <c r="E23" s="22" t="n">
        <f aca="false">INDEX('METAS E PESOS'!$B$3:$B$17,MATCH($A23,'METAS E PESOS'!$A$3:$A$17,0))*$C23</f>
        <v>377.6672</v>
      </c>
      <c r="F23" s="7" t="n">
        <f aca="false">SUMIFS(BASE_VENDAS!$E$2:$E$125,BASE_VENDAS!$A$2:$A$125,$A23,BASE_VENDAS!$C$2:$C$125,$B23)</f>
        <v>8465.86</v>
      </c>
      <c r="G23" s="8" t="n">
        <f aca="false">IFERROR($F23/$D23,0)</f>
        <v>0.586678059572892</v>
      </c>
      <c r="H23" s="6" t="n">
        <f aca="false">SUMIFS(BASE_VENDAS!$D$2:$D$125,BASE_VENDAS!$A$2:$A$125,$A23,BASE_VENDAS!$C$2:$C$125,$B23)</f>
        <v>210</v>
      </c>
      <c r="I23" s="8" t="n">
        <f aca="false">IFERROR($H23/$E23,0)</f>
        <v>0.556045110615907</v>
      </c>
      <c r="J23" s="7" t="n">
        <f aca="false">$F23/$P$1*$R$1</f>
        <v>84658.6</v>
      </c>
      <c r="K23" s="6" t="n">
        <f aca="false">$H23/$P$1*$R$1</f>
        <v>2100</v>
      </c>
      <c r="L23" s="22" t="n">
        <f aca="false">IF((($E23-$H23)/($R$1-$P$1))&lt;0,0,($E23-$H23)/($R$1-$P$1))</f>
        <v>6.2098962962963</v>
      </c>
      <c r="M23" s="7" t="n">
        <f aca="false">IF((($D23-$F23)/($R$1-$P$1))&lt;0,0,($D23-$F23)/($R$1-$P$1))</f>
        <v>220.900109333333</v>
      </c>
    </row>
    <row r="24" customFormat="false" ht="18.75" hidden="false" customHeight="true" outlineLevel="0" collapsed="false">
      <c r="A24" s="11" t="s">
        <v>19</v>
      </c>
      <c r="B24" s="16" t="s">
        <v>5</v>
      </c>
      <c r="C24" s="14" t="n">
        <f aca="false">IF(ISNUMBER(INDEX('METAS E PESOS'!$D$3:$N$17,MATCH($A24,'METAS E PESOS'!$A$3:$A$17,0),MATCH($B24,'METAS E PESOS'!$D$2:$N$2,0))),INDEX('METAS E PESOS'!$D$3:$N$17,MATCH($A24,'METAS E PESOS'!$A$3:$A$17,0),MATCH($B24,'METAS E PESOS'!$D$2:$N$2,0)),0)</f>
        <v>0.101</v>
      </c>
      <c r="D24" s="13" t="n">
        <f aca="false">INDEX('METAS E PESOS'!$C$3:$C$17,MATCH($A24,'METAS E PESOS'!$A$3:$A$17,0))*$C24</f>
        <v>12598.97533</v>
      </c>
      <c r="E24" s="21" t="n">
        <f aca="false">INDEX('METAS E PESOS'!$B$3:$B$17,MATCH($A24,'METAS E PESOS'!$A$3:$A$17,0))*$C24</f>
        <v>461.772</v>
      </c>
      <c r="F24" s="13" t="n">
        <f aca="false">SUMIFS(BASE_VENDAS!$E$2:$E$125,BASE_VENDAS!$A$2:$A$125,$A24,BASE_VENDAS!$C$2:$C$125,$B24)</f>
        <v>8358</v>
      </c>
      <c r="G24" s="14" t="n">
        <f aca="false">IFERROR($F24/$D24,0)</f>
        <v>0.663387281987796</v>
      </c>
      <c r="H24" s="12" t="n">
        <f aca="false">SUMIFS(BASE_VENDAS!$D$2:$D$125,BASE_VENDAS!$A$2:$A$125,$A24,BASE_VENDAS!$C$2:$C$125,$B24)</f>
        <v>300</v>
      </c>
      <c r="I24" s="14" t="n">
        <f aca="false">IFERROR($H24/$E24,0)</f>
        <v>0.649671266339232</v>
      </c>
      <c r="J24" s="13" t="n">
        <f aca="false">$F24/$P$1*$R$1</f>
        <v>83580</v>
      </c>
      <c r="K24" s="12" t="n">
        <f aca="false">$H24/$P$1*$R$1</f>
        <v>3000</v>
      </c>
      <c r="L24" s="21" t="n">
        <f aca="false">IF((($E24-$H24)/($R$1-$P$1))&lt;0,0,($E24-$H24)/($R$1-$P$1))</f>
        <v>5.99155555555556</v>
      </c>
      <c r="M24" s="13" t="n">
        <f aca="false">IF((($D24-$F24)/($R$1-$P$1))&lt;0,0,($D24-$F24)/($R$1-$P$1))</f>
        <v>157.07316037037</v>
      </c>
    </row>
    <row r="25" customFormat="false" ht="18.75" hidden="false" customHeight="true" outlineLevel="0" collapsed="false">
      <c r="A25" s="5" t="s">
        <v>19</v>
      </c>
      <c r="B25" s="9" t="s">
        <v>6</v>
      </c>
      <c r="C25" s="8" t="n">
        <f aca="false">IF(ISNUMBER(INDEX('METAS E PESOS'!$D$3:$N$17,MATCH($A25,'METAS E PESOS'!$A$3:$A$17,0),MATCH($B25,'METAS E PESOS'!$D$2:$N$2,0))),INDEX('METAS E PESOS'!$D$3:$N$17,MATCH($A25,'METAS E PESOS'!$A$3:$A$17,0),MATCH($B25,'METAS E PESOS'!$D$2:$N$2,0)),0)</f>
        <v>0.0855</v>
      </c>
      <c r="D25" s="7" t="n">
        <f aca="false">INDEX('METAS E PESOS'!$C$3:$C$17,MATCH($A25,'METAS E PESOS'!$A$3:$A$17,0))*$C25</f>
        <v>10665.469215</v>
      </c>
      <c r="E25" s="22" t="n">
        <f aca="false">INDEX('METAS E PESOS'!$B$3:$B$17,MATCH($A25,'METAS E PESOS'!$A$3:$A$17,0))*$C25</f>
        <v>390.906</v>
      </c>
      <c r="F25" s="7" t="n">
        <f aca="false">SUMIFS(BASE_VENDAS!$E$2:$E$125,BASE_VENDAS!$A$2:$A$125,$A25,BASE_VENDAS!$C$2:$C$125,$B25)</f>
        <v>7599.96</v>
      </c>
      <c r="G25" s="8" t="n">
        <f aca="false">IFERROR($F25/$D25,0)</f>
        <v>0.712576244588598</v>
      </c>
      <c r="H25" s="6" t="n">
        <f aca="false">SUMIFS(BASE_VENDAS!$D$2:$D$125,BASE_VENDAS!$A$2:$A$125,$A25,BASE_VENDAS!$C$2:$C$125,$B25)</f>
        <v>296</v>
      </c>
      <c r="I25" s="8" t="n">
        <f aca="false">IFERROR($H25/$E25,0)</f>
        <v>0.757215289609267</v>
      </c>
      <c r="J25" s="7" t="n">
        <f aca="false">$F25/$P$1*$R$1</f>
        <v>75999.6</v>
      </c>
      <c r="K25" s="6" t="n">
        <f aca="false">$H25/$P$1*$R$1</f>
        <v>2960</v>
      </c>
      <c r="L25" s="22" t="n">
        <f aca="false">IF((($E25-$H25)/($R$1-$P$1))&lt;0,0,($E25-$H25)/($R$1-$P$1))</f>
        <v>3.51503703703704</v>
      </c>
      <c r="M25" s="7" t="n">
        <f aca="false">IF((($D25-$F25)/($R$1-$P$1))&lt;0,0,($D25-$F25)/($R$1-$P$1))</f>
        <v>113.537378333333</v>
      </c>
    </row>
    <row r="26" customFormat="false" ht="18.75" hidden="false" customHeight="true" outlineLevel="0" collapsed="false">
      <c r="A26" s="11" t="s">
        <v>19</v>
      </c>
      <c r="B26" s="16" t="s">
        <v>7</v>
      </c>
      <c r="C26" s="14" t="n">
        <f aca="false">IF(ISNUMBER(INDEX('METAS E PESOS'!$D$3:$N$17,MATCH($A26,'METAS E PESOS'!$A$3:$A$17,0),MATCH($B26,'METAS E PESOS'!$D$2:$N$2,0))),INDEX('METAS E PESOS'!$D$3:$N$17,MATCH($A26,'METAS E PESOS'!$A$3:$A$17,0),MATCH($B26,'METAS E PESOS'!$D$2:$N$2,0)),0)</f>
        <v>0.0874</v>
      </c>
      <c r="D26" s="13" t="n">
        <f aca="false">INDEX('METAS E PESOS'!$C$3:$C$17,MATCH($A26,'METAS E PESOS'!$A$3:$A$17,0))*$C26</f>
        <v>10902.479642</v>
      </c>
      <c r="E26" s="21" t="n">
        <f aca="false">INDEX('METAS E PESOS'!$B$3:$B$17,MATCH($A26,'METAS E PESOS'!$A$3:$A$17,0))*$C26</f>
        <v>399.5928</v>
      </c>
      <c r="F26" s="13" t="n">
        <f aca="false">SUMIFS(BASE_VENDAS!$E$2:$E$125,BASE_VENDAS!$A$2:$A$125,$A26,BASE_VENDAS!$C$2:$C$125,$B26)</f>
        <v>8876.24</v>
      </c>
      <c r="G26" s="14" t="n">
        <f aca="false">IFERROR($F26/$D26,0)</f>
        <v>0.814148734183896</v>
      </c>
      <c r="H26" s="12" t="n">
        <f aca="false">SUMIFS(BASE_VENDAS!$D$2:$D$125,BASE_VENDAS!$A$2:$A$125,$A26,BASE_VENDAS!$C$2:$C$125,$B26)</f>
        <v>310</v>
      </c>
      <c r="I26" s="14" t="n">
        <f aca="false">IFERROR($H26/$E26,0)</f>
        <v>0.775789753969541</v>
      </c>
      <c r="J26" s="13" t="n">
        <f aca="false">$F26/$P$1*$R$1</f>
        <v>88762.4</v>
      </c>
      <c r="K26" s="12" t="n">
        <f aca="false">$H26/$P$1*$R$1</f>
        <v>3100</v>
      </c>
      <c r="L26" s="21" t="n">
        <f aca="false">IF((($E26-$H26)/($R$1-$P$1))&lt;0,0,($E26-$H26)/($R$1-$P$1))</f>
        <v>3.31825185185185</v>
      </c>
      <c r="M26" s="13" t="n">
        <f aca="false">IF((($D26-$F26)/($R$1-$P$1))&lt;0,0,($D26-$F26)/($R$1-$P$1))</f>
        <v>75.0459126666667</v>
      </c>
    </row>
    <row r="27" customFormat="false" ht="18.75" hidden="false" customHeight="true" outlineLevel="0" collapsed="false">
      <c r="A27" s="5" t="s">
        <v>19</v>
      </c>
      <c r="B27" s="9" t="s">
        <v>8</v>
      </c>
      <c r="C27" s="8" t="n">
        <f aca="false">IF(ISNUMBER(INDEX('METAS E PESOS'!$D$3:$N$17,MATCH($A27,'METAS E PESOS'!$A$3:$A$17,0),MATCH($B27,'METAS E PESOS'!$D$2:$N$2,0))),INDEX('METAS E PESOS'!$D$3:$N$17,MATCH($A27,'METAS E PESOS'!$A$3:$A$17,0),MATCH($B27,'METAS E PESOS'!$D$2:$N$2,0)),0)</f>
        <v>0.0485</v>
      </c>
      <c r="D27" s="7" t="n">
        <f aca="false">INDEX('METAS E PESOS'!$C$3:$C$17,MATCH($A27,'METAS E PESOS'!$A$3:$A$17,0))*$C27</f>
        <v>6050.003005</v>
      </c>
      <c r="E27" s="22" t="n">
        <f aca="false">INDEX('METAS E PESOS'!$B$3:$B$17,MATCH($A27,'METAS E PESOS'!$A$3:$A$17,0))*$C27</f>
        <v>221.742</v>
      </c>
      <c r="F27" s="7" t="n">
        <f aca="false">SUMIFS(BASE_VENDAS!$E$2:$E$125,BASE_VENDAS!$A$2:$A$125,$A27,BASE_VENDAS!$C$2:$C$125,$B27)</f>
        <v>2443.07</v>
      </c>
      <c r="G27" s="8" t="n">
        <f aca="false">IFERROR($F27/$D27,0)</f>
        <v>0.403813022568904</v>
      </c>
      <c r="H27" s="6" t="n">
        <f aca="false">SUMIFS(BASE_VENDAS!$D$2:$D$125,BASE_VENDAS!$A$2:$A$125,$A27,BASE_VENDAS!$C$2:$C$125,$B27)</f>
        <v>86</v>
      </c>
      <c r="I27" s="8" t="n">
        <f aca="false">IFERROR($H27/$E27,0)</f>
        <v>0.387838118173373</v>
      </c>
      <c r="J27" s="7" t="n">
        <f aca="false">$F27/$P$1*$R$1</f>
        <v>24430.7</v>
      </c>
      <c r="K27" s="6" t="n">
        <f aca="false">$H27/$P$1*$R$1</f>
        <v>860</v>
      </c>
      <c r="L27" s="22" t="n">
        <f aca="false">IF((($E27-$H27)/($R$1-$P$1))&lt;0,0,($E27-$H27)/($R$1-$P$1))</f>
        <v>5.02748148148148</v>
      </c>
      <c r="M27" s="7" t="n">
        <f aca="false">IF((($D27-$F27)/($R$1-$P$1))&lt;0,0,($D27-$F27)/($R$1-$P$1))</f>
        <v>133.590111296296</v>
      </c>
    </row>
    <row r="28" customFormat="false" ht="18.75" hidden="false" customHeight="true" outlineLevel="0" collapsed="false">
      <c r="A28" s="11" t="s">
        <v>19</v>
      </c>
      <c r="B28" s="16" t="s">
        <v>9</v>
      </c>
      <c r="C28" s="14" t="n">
        <f aca="false">IF(ISNUMBER(INDEX('METAS E PESOS'!$D$3:$N$17,MATCH($A28,'METAS E PESOS'!$A$3:$A$17,0),MATCH($B28,'METAS E PESOS'!$D$2:$N$2,0))),INDEX('METAS E PESOS'!$D$3:$N$17,MATCH($A28,'METAS E PESOS'!$A$3:$A$17,0),MATCH($B28,'METAS E PESOS'!$D$2:$N$2,0)),0)</f>
        <v>0.1</v>
      </c>
      <c r="D28" s="13" t="n">
        <f aca="false">INDEX('METAS E PESOS'!$C$3:$C$17,MATCH($A28,'METAS E PESOS'!$A$3:$A$17,0))*$C28</f>
        <v>12474.233</v>
      </c>
      <c r="E28" s="21" t="n">
        <f aca="false">INDEX('METAS E PESOS'!$B$3:$B$17,MATCH($A28,'METAS E PESOS'!$A$3:$A$17,0))*$C28</f>
        <v>457.2</v>
      </c>
      <c r="F28" s="13" t="n">
        <f aca="false">SUMIFS(BASE_VENDAS!$E$2:$E$125,BASE_VENDAS!$A$2:$A$125,$A28,BASE_VENDAS!$C$2:$C$125,$B28)</f>
        <v>8222.25</v>
      </c>
      <c r="G28" s="14" t="n">
        <f aca="false">IFERROR($F28/$D28,0)</f>
        <v>0.659138722196387</v>
      </c>
      <c r="H28" s="12" t="n">
        <f aca="false">SUMIFS(BASE_VENDAS!$D$2:$D$125,BASE_VENDAS!$A$2:$A$125,$A28,BASE_VENDAS!$C$2:$C$125,$B28)</f>
        <v>284</v>
      </c>
      <c r="I28" s="14" t="n">
        <f aca="false">IFERROR($H28/$E28,0)</f>
        <v>0.621172353455818</v>
      </c>
      <c r="J28" s="13" t="n">
        <f aca="false">$F28/$P$1*$R$1</f>
        <v>82222.5</v>
      </c>
      <c r="K28" s="12" t="n">
        <f aca="false">$H28/$P$1*$R$1</f>
        <v>2840</v>
      </c>
      <c r="L28" s="21" t="n">
        <f aca="false">IF((($E28-$H28)/($R$1-$P$1))&lt;0,0,($E28-$H28)/($R$1-$P$1))</f>
        <v>6.41481481481482</v>
      </c>
      <c r="M28" s="13" t="n">
        <f aca="false">IF((($D28-$F28)/($R$1-$P$1))&lt;0,0,($D28-$F28)/($R$1-$P$1))</f>
        <v>157.480851851852</v>
      </c>
    </row>
    <row r="29" customFormat="false" ht="18.75" hidden="false" customHeight="true" outlineLevel="0" collapsed="false">
      <c r="A29" s="5" t="s">
        <v>19</v>
      </c>
      <c r="B29" s="9" t="s">
        <v>10</v>
      </c>
      <c r="C29" s="8" t="n">
        <f aca="false">IF(ISNUMBER(INDEX('METAS E PESOS'!$D$3:$N$17,MATCH($A29,'METAS E PESOS'!$A$3:$A$17,0),MATCH($B29,'METAS E PESOS'!$D$2:$N$2,0))),INDEX('METAS E PESOS'!$D$3:$N$17,MATCH($A29,'METAS E PESOS'!$A$3:$A$17,0),MATCH($B29,'METAS E PESOS'!$D$2:$N$2,0)),0)</f>
        <v>0.106</v>
      </c>
      <c r="D29" s="7" t="n">
        <f aca="false">INDEX('METAS E PESOS'!$C$3:$C$17,MATCH($A29,'METAS E PESOS'!$A$3:$A$17,0))*$C29</f>
        <v>13222.68698</v>
      </c>
      <c r="E29" s="22" t="n">
        <f aca="false">INDEX('METAS E PESOS'!$B$3:$B$17,MATCH($A29,'METAS E PESOS'!$A$3:$A$17,0))*$C29</f>
        <v>484.632</v>
      </c>
      <c r="F29" s="7" t="n">
        <f aca="false">SUMIFS(BASE_VENDAS!$E$2:$E$125,BASE_VENDAS!$A$2:$A$125,$A29,BASE_VENDAS!$C$2:$C$125,$B29)</f>
        <v>6358.08</v>
      </c>
      <c r="G29" s="8" t="n">
        <f aca="false">IFERROR($F29/$D29,0)</f>
        <v>0.480846291651381</v>
      </c>
      <c r="H29" s="6" t="n">
        <f aca="false">SUMIFS(BASE_VENDAS!$D$2:$D$125,BASE_VENDAS!$A$2:$A$125,$A29,BASE_VENDAS!$C$2:$C$125,$B29)</f>
        <v>220</v>
      </c>
      <c r="I29" s="8" t="n">
        <f aca="false">IFERROR($H29/$E29,0)</f>
        <v>0.45395268987603</v>
      </c>
      <c r="J29" s="7" t="n">
        <f aca="false">$F29/$P$1*$R$1</f>
        <v>63580.8</v>
      </c>
      <c r="K29" s="6" t="n">
        <f aca="false">$H29/$P$1*$R$1</f>
        <v>2200</v>
      </c>
      <c r="L29" s="22" t="n">
        <f aca="false">IF((($E29-$H29)/($R$1-$P$1))&lt;0,0,($E29-$H29)/($R$1-$P$1))</f>
        <v>9.80118518518519</v>
      </c>
      <c r="M29" s="7" t="n">
        <f aca="false">IF((($D29-$F29)/($R$1-$P$1))&lt;0,0,($D29-$F29)/($R$1-$P$1))</f>
        <v>254.244702962963</v>
      </c>
    </row>
    <row r="30" customFormat="false" ht="18.75" hidden="false" customHeight="true" outlineLevel="0" collapsed="false">
      <c r="A30" s="11" t="s">
        <v>19</v>
      </c>
      <c r="B30" s="16" t="s">
        <v>11</v>
      </c>
      <c r="C30" s="14" t="n">
        <f aca="false">IF(ISNUMBER(INDEX('METAS E PESOS'!$D$3:$N$17,MATCH($A30,'METAS E PESOS'!$A$3:$A$17,0),MATCH($B30,'METAS E PESOS'!$D$2:$N$2,0))),INDEX('METAS E PESOS'!$D$3:$N$17,MATCH($A30,'METAS E PESOS'!$A$3:$A$17,0),MATCH($B30,'METAS E PESOS'!$D$2:$N$2,0)),0)</f>
        <v>0.073</v>
      </c>
      <c r="D30" s="13" t="n">
        <f aca="false">INDEX('METAS E PESOS'!$C$3:$C$17,MATCH($A30,'METAS E PESOS'!$A$3:$A$17,0))*$C30</f>
        <v>9106.19009</v>
      </c>
      <c r="E30" s="21" t="n">
        <f aca="false">INDEX('METAS E PESOS'!$B$3:$B$17,MATCH($A30,'METAS E PESOS'!$A$3:$A$17,0))*$C30</f>
        <v>333.756</v>
      </c>
      <c r="F30" s="13" t="n">
        <f aca="false">SUMIFS(BASE_VENDAS!$E$2:$E$125,BASE_VENDAS!$A$2:$A$125,$A30,BASE_VENDAS!$C$2:$C$125,$B30)</f>
        <v>6430.75</v>
      </c>
      <c r="G30" s="14" t="n">
        <f aca="false">IFERROR($F30/$D30,0)</f>
        <v>0.706195449078309</v>
      </c>
      <c r="H30" s="12" t="n">
        <f aca="false">SUMIFS(BASE_VENDAS!$D$2:$D$125,BASE_VENDAS!$A$2:$A$125,$A30,BASE_VENDAS!$C$2:$C$125,$B30)</f>
        <v>228</v>
      </c>
      <c r="I30" s="14" t="n">
        <f aca="false">IFERROR($H30/$E30,0)</f>
        <v>0.683133786358897</v>
      </c>
      <c r="J30" s="13" t="n">
        <f aca="false">$F30/$P$1*$R$1</f>
        <v>64307.5</v>
      </c>
      <c r="K30" s="12" t="n">
        <f aca="false">$H30/$P$1*$R$1</f>
        <v>2280</v>
      </c>
      <c r="L30" s="21" t="n">
        <f aca="false">IF((($E30-$H30)/($R$1-$P$1))&lt;0,0,($E30-$H30)/($R$1-$P$1))</f>
        <v>3.91688888888889</v>
      </c>
      <c r="M30" s="13" t="n">
        <f aca="false">IF((($D30-$F30)/($R$1-$P$1))&lt;0,0,($D30-$F30)/($R$1-$P$1))</f>
        <v>99.0903737037037</v>
      </c>
    </row>
    <row r="31" customFormat="false" ht="18.75" hidden="false" customHeight="true" outlineLevel="0" collapsed="false">
      <c r="A31" s="5" t="s">
        <v>19</v>
      </c>
      <c r="B31" s="9" t="s">
        <v>12</v>
      </c>
      <c r="C31" s="8" t="n">
        <f aca="false">IF(ISNUMBER(INDEX('METAS E PESOS'!$D$3:$N$17,MATCH($A31,'METAS E PESOS'!$A$3:$A$17,0),MATCH($B31,'METAS E PESOS'!$D$2:$N$2,0))),INDEX('METAS E PESOS'!$D$3:$N$17,MATCH($A31,'METAS E PESOS'!$A$3:$A$17,0),MATCH($B31,'METAS E PESOS'!$D$2:$N$2,0)),0)</f>
        <v>0.166</v>
      </c>
      <c r="D31" s="7" t="n">
        <f aca="false">INDEX('METAS E PESOS'!$C$3:$C$17,MATCH($A31,'METAS E PESOS'!$A$3:$A$17,0))*$C31</f>
        <v>20707.22678</v>
      </c>
      <c r="E31" s="22" t="n">
        <f aca="false">INDEX('METAS E PESOS'!$B$3:$B$17,MATCH($A31,'METAS E PESOS'!$A$3:$A$17,0))*$C31</f>
        <v>758.952</v>
      </c>
      <c r="F31" s="7" t="n">
        <f aca="false">SUMIFS(BASE_VENDAS!$E$2:$E$125,BASE_VENDAS!$A$2:$A$125,$A31,BASE_VENDAS!$C$2:$C$125,$B31)</f>
        <v>11022.28</v>
      </c>
      <c r="G31" s="8" t="n">
        <f aca="false">IFERROR($F31/$D31,0)</f>
        <v>0.532291461193917</v>
      </c>
      <c r="H31" s="6" t="n">
        <f aca="false">SUMIFS(BASE_VENDAS!$D$2:$D$125,BASE_VENDAS!$A$2:$A$125,$A31,BASE_VENDAS!$C$2:$C$125,$B31)</f>
        <v>394</v>
      </c>
      <c r="I31" s="8" t="n">
        <f aca="false">IFERROR($H31/$E31,0)</f>
        <v>0.519136915114526</v>
      </c>
      <c r="J31" s="7" t="n">
        <f aca="false">$F31/$P$1*$R$1</f>
        <v>110222.8</v>
      </c>
      <c r="K31" s="6" t="n">
        <f aca="false">$H31/$P$1*$R$1</f>
        <v>3940</v>
      </c>
      <c r="L31" s="22" t="n">
        <f aca="false">IF((($E31-$H31)/($R$1-$P$1))&lt;0,0,($E31-$H31)/($R$1-$P$1))</f>
        <v>13.5167407407407</v>
      </c>
      <c r="M31" s="7" t="n">
        <f aca="false">IF((($D31-$F31)/($R$1-$P$1))&lt;0,0,($D31-$F31)/($R$1-$P$1))</f>
        <v>358.701732592593</v>
      </c>
    </row>
    <row r="32" customFormat="false" ht="18.75" hidden="false" customHeight="true" outlineLevel="0" collapsed="false">
      <c r="A32" s="11" t="s">
        <v>19</v>
      </c>
      <c r="B32" s="16" t="s">
        <v>13</v>
      </c>
      <c r="C32" s="14" t="n">
        <f aca="false">IF(ISNUMBER(INDEX('METAS E PESOS'!$D$3:$N$17,MATCH($A32,'METAS E PESOS'!$A$3:$A$17,0),MATCH($B32,'METAS E PESOS'!$D$2:$N$2,0))),INDEX('METAS E PESOS'!$D$3:$N$17,MATCH($A32,'METAS E PESOS'!$A$3:$A$17,0),MATCH($B32,'METAS E PESOS'!$D$2:$N$2,0)),0)</f>
        <v>0.063</v>
      </c>
      <c r="D32" s="13" t="n">
        <f aca="false">INDEX('METAS E PESOS'!$C$3:$C$17,MATCH($A32,'METAS E PESOS'!$A$3:$A$17,0))*$C32</f>
        <v>7858.76679</v>
      </c>
      <c r="E32" s="21" t="n">
        <f aca="false">INDEX('METAS E PESOS'!$B$3:$B$17,MATCH($A32,'METAS E PESOS'!$A$3:$A$17,0))*$C32</f>
        <v>288.036</v>
      </c>
      <c r="F32" s="13" t="n">
        <f aca="false">SUMIFS(BASE_VENDAS!$E$2:$E$125,BASE_VENDAS!$A$2:$A$125,$A32,BASE_VENDAS!$C$2:$C$125,$B32)</f>
        <v>4891.32</v>
      </c>
      <c r="G32" s="14" t="n">
        <f aca="false">IFERROR($F32/$D32,0)</f>
        <v>0.622402996641156</v>
      </c>
      <c r="H32" s="12" t="n">
        <f aca="false">SUMIFS(BASE_VENDAS!$D$2:$D$125,BASE_VENDAS!$A$2:$A$125,$A32,BASE_VENDAS!$C$2:$C$125,$B32)</f>
        <v>166</v>
      </c>
      <c r="I32" s="14" t="n">
        <f aca="false">IFERROR($H32/$E32,0)</f>
        <v>0.576316849282729</v>
      </c>
      <c r="J32" s="13" t="n">
        <f aca="false">$F32/$P$1*$R$1</f>
        <v>48913.2</v>
      </c>
      <c r="K32" s="12" t="n">
        <f aca="false">$H32/$P$1*$R$1</f>
        <v>1660</v>
      </c>
      <c r="L32" s="21" t="n">
        <f aca="false">IF((($E32-$H32)/($R$1-$P$1))&lt;0,0,($E32-$H32)/($R$1-$P$1))</f>
        <v>4.51985185185185</v>
      </c>
      <c r="M32" s="13" t="n">
        <f aca="false">IF((($D32-$F32)/($R$1-$P$1))&lt;0,0,($D32-$F32)/($R$1-$P$1))</f>
        <v>109.905436666667</v>
      </c>
    </row>
    <row r="33" customFormat="false" ht="18.75" hidden="false" customHeight="true" outlineLevel="0" collapsed="false">
      <c r="A33" s="5" t="s">
        <v>19</v>
      </c>
      <c r="B33" s="9" t="s">
        <v>14</v>
      </c>
      <c r="C33" s="8" t="n">
        <f aca="false">IF(ISNUMBER(INDEX('METAS E PESOS'!$D$3:$N$17,MATCH($A33,'METAS E PESOS'!$A$3:$A$17,0),MATCH($B33,'METAS E PESOS'!$D$2:$N$2,0))),INDEX('METAS E PESOS'!$D$3:$N$17,MATCH($A33,'METAS E PESOS'!$A$3:$A$17,0),MATCH($B33,'METAS E PESOS'!$D$2:$N$2,0)),0)</f>
        <v>0.084</v>
      </c>
      <c r="D33" s="7" t="n">
        <f aca="false">INDEX('METAS E PESOS'!$C$3:$C$17,MATCH($A33,'METAS E PESOS'!$A$3:$A$17,0))*$C33</f>
        <v>10478.35572</v>
      </c>
      <c r="E33" s="22" t="n">
        <f aca="false">INDEX('METAS E PESOS'!$B$3:$B$17,MATCH($A33,'METAS E PESOS'!$A$3:$A$17,0))*$C33</f>
        <v>384.048</v>
      </c>
      <c r="F33" s="7" t="n">
        <f aca="false">SUMIFS(BASE_VENDAS!$E$2:$E$125,BASE_VENDAS!$A$2:$A$125,$A33,BASE_VENDAS!$C$2:$C$125,$B33)</f>
        <v>4498.2</v>
      </c>
      <c r="G33" s="8" t="n">
        <f aca="false">IFERROR($F33/$D33,0)</f>
        <v>0.42928491074361</v>
      </c>
      <c r="H33" s="6" t="n">
        <f aca="false">SUMIFS(BASE_VENDAS!$D$2:$D$125,BASE_VENDAS!$A$2:$A$125,$A33,BASE_VENDAS!$C$2:$C$125,$B33)</f>
        <v>156</v>
      </c>
      <c r="I33" s="8" t="n">
        <f aca="false">IFERROR($H33/$E33,0)</f>
        <v>0.406199225096863</v>
      </c>
      <c r="J33" s="7" t="n">
        <f aca="false">$F33/$P$1*$R$1</f>
        <v>44982</v>
      </c>
      <c r="K33" s="6" t="n">
        <f aca="false">$H33/$P$1*$R$1</f>
        <v>1560</v>
      </c>
      <c r="L33" s="22" t="n">
        <f aca="false">IF((($E33-$H33)/($R$1-$P$1))&lt;0,0,($E33-$H33)/($R$1-$P$1))</f>
        <v>8.44622222222222</v>
      </c>
      <c r="M33" s="7" t="n">
        <f aca="false">IF((($D33-$F33)/($R$1-$P$1))&lt;0,0,($D33-$F33)/($R$1-$P$1))</f>
        <v>221.487248888889</v>
      </c>
    </row>
    <row r="34" customFormat="false" ht="18.75" hidden="false" customHeight="true" outlineLevel="0" collapsed="false">
      <c r="A34" s="11" t="s">
        <v>19</v>
      </c>
      <c r="B34" s="16" t="s">
        <v>15</v>
      </c>
      <c r="C34" s="14" t="n">
        <f aca="false">IF(ISNUMBER(INDEX('METAS E PESOS'!$D$3:$N$17,MATCH($A34,'METAS E PESOS'!$A$3:$A$17,0),MATCH($B34,'METAS E PESOS'!$D$2:$N$2,0))),INDEX('METAS E PESOS'!$D$3:$N$17,MATCH($A34,'METAS E PESOS'!$A$3:$A$17,0),MATCH($B34,'METAS E PESOS'!$D$2:$N$2,0)),0)</f>
        <v>0.0856</v>
      </c>
      <c r="D34" s="13" t="n">
        <f aca="false">INDEX('METAS E PESOS'!$C$3:$C$17,MATCH($A34,'METAS E PESOS'!$A$3:$A$17,0))*$C34</f>
        <v>10677.943448</v>
      </c>
      <c r="E34" s="21" t="n">
        <f aca="false">INDEX('METAS E PESOS'!$B$3:$B$17,MATCH($A34,'METAS E PESOS'!$A$3:$A$17,0))*$C34</f>
        <v>391.3632</v>
      </c>
      <c r="F34" s="13" t="n">
        <f aca="false">SUMIFS(BASE_VENDAS!$E$2:$E$125,BASE_VENDAS!$A$2:$A$125,$A34,BASE_VENDAS!$C$2:$C$125,$B34)</f>
        <v>9885.59</v>
      </c>
      <c r="G34" s="14" t="n">
        <f aca="false">IFERROR($F34/$D34,0)</f>
        <v>0.925795313314905</v>
      </c>
      <c r="H34" s="12" t="n">
        <f aca="false">SUMIFS(BASE_VENDAS!$D$2:$D$125,BASE_VENDAS!$A$2:$A$125,$A34,BASE_VENDAS!$C$2:$C$125,$B34)</f>
        <v>350</v>
      </c>
      <c r="I34" s="14" t="n">
        <f aca="false">IFERROR($H34/$E34,0)</f>
        <v>0.894309940229434</v>
      </c>
      <c r="J34" s="13" t="n">
        <f aca="false">$F34/$P$1*$R$1</f>
        <v>98855.9</v>
      </c>
      <c r="K34" s="12" t="n">
        <f aca="false">$H34/$P$1*$R$1</f>
        <v>3500</v>
      </c>
      <c r="L34" s="21" t="n">
        <f aca="false">IF((($E34-$H34)/($R$1-$P$1))&lt;0,0,($E34-$H34)/($R$1-$P$1))</f>
        <v>1.53197037037037</v>
      </c>
      <c r="M34" s="13" t="n">
        <f aca="false">IF((($D34-$F34)/($R$1-$P$1))&lt;0,0,($D34-$F34)/($R$1-$P$1))</f>
        <v>29.346424</v>
      </c>
    </row>
    <row r="35" customFormat="false" ht="18.75" hidden="false" customHeight="true" outlineLevel="0" collapsed="false">
      <c r="A35" s="5" t="s">
        <v>20</v>
      </c>
      <c r="B35" s="9" t="s">
        <v>5</v>
      </c>
      <c r="C35" s="8" t="n">
        <f aca="false">IF(ISNUMBER(INDEX('METAS E PESOS'!$D$3:$N$17,MATCH($A35,'METAS E PESOS'!$A$3:$A$17,0),MATCH($B35,'METAS E PESOS'!$D$2:$N$2,0))),INDEX('METAS E PESOS'!$D$3:$N$17,MATCH($A35,'METAS E PESOS'!$A$3:$A$17,0),MATCH($B35,'METAS E PESOS'!$D$2:$N$2,0)),0)</f>
        <v>0.079</v>
      </c>
      <c r="D35" s="7" t="n">
        <f aca="false">INDEX('METAS E PESOS'!$C$3:$C$17,MATCH($A35,'METAS E PESOS'!$A$3:$A$17,0))*$C35</f>
        <v>1842.59284</v>
      </c>
      <c r="E35" s="22" t="n">
        <f aca="false">INDEX('METAS E PESOS'!$B$3:$B$17,MATCH($A35,'METAS E PESOS'!$A$3:$A$17,0))*$C35</f>
        <v>47.4</v>
      </c>
      <c r="F35" s="7" t="n">
        <f aca="false">SUMIFS(BASE_VENDAS!$E$2:$E$125,BASE_VENDAS!$A$2:$A$125,$A35,BASE_VENDAS!$C$2:$C$125,$B35)</f>
        <v>0</v>
      </c>
      <c r="G35" s="8" t="n">
        <f aca="false">IFERROR($F35/$D35,0)</f>
        <v>0</v>
      </c>
      <c r="H35" s="6" t="n">
        <f aca="false">SUMIFS(BASE_VENDAS!$D$2:$D$125,BASE_VENDAS!$A$2:$A$125,$A35,BASE_VENDAS!$C$2:$C$125,$B35)</f>
        <v>0</v>
      </c>
      <c r="I35" s="8" t="n">
        <f aca="false">IFERROR($H35/$E35,0)</f>
        <v>0</v>
      </c>
      <c r="J35" s="7" t="n">
        <f aca="false">$F35/$P$1*$R$1</f>
        <v>0</v>
      </c>
      <c r="K35" s="6" t="n">
        <f aca="false">$H35/$P$1*$R$1</f>
        <v>0</v>
      </c>
      <c r="L35" s="22" t="n">
        <f aca="false">IF((($E35-$H35)/($R$1-$P$1))&lt;0,0,($E35-$H35)/($R$1-$P$1))</f>
        <v>1.75555555555556</v>
      </c>
      <c r="M35" s="7" t="n">
        <f aca="false">IF((($D35-$F35)/($R$1-$P$1))&lt;0,0,($D35-$F35)/($R$1-$P$1))</f>
        <v>68.2441792592593</v>
      </c>
    </row>
    <row r="36" customFormat="false" ht="18.75" hidden="false" customHeight="true" outlineLevel="0" collapsed="false">
      <c r="A36" s="11" t="s">
        <v>20</v>
      </c>
      <c r="B36" s="16" t="s">
        <v>6</v>
      </c>
      <c r="C36" s="14" t="n">
        <f aca="false">IF(ISNUMBER(INDEX('METAS E PESOS'!$D$3:$N$17,MATCH($A36,'METAS E PESOS'!$A$3:$A$17,0),MATCH($B36,'METAS E PESOS'!$D$2:$N$2,0))),INDEX('METAS E PESOS'!$D$3:$N$17,MATCH($A36,'METAS E PESOS'!$A$3:$A$17,0),MATCH($B36,'METAS E PESOS'!$D$2:$N$2,0)),0)</f>
        <v>0.082</v>
      </c>
      <c r="D36" s="13" t="n">
        <f aca="false">INDEX('METAS E PESOS'!$C$3:$C$17,MATCH($A36,'METAS E PESOS'!$A$3:$A$17,0))*$C36</f>
        <v>1912.56472</v>
      </c>
      <c r="E36" s="21" t="n">
        <f aca="false">INDEX('METAS E PESOS'!$B$3:$B$17,MATCH($A36,'METAS E PESOS'!$A$3:$A$17,0))*$C36</f>
        <v>49.2</v>
      </c>
      <c r="F36" s="13" t="n">
        <f aca="false">SUMIFS(BASE_VENDAS!$E$2:$E$125,BASE_VENDAS!$A$2:$A$125,$A36,BASE_VENDAS!$C$2:$C$125,$B36)</f>
        <v>0</v>
      </c>
      <c r="G36" s="14" t="n">
        <f aca="false">IFERROR($F36/$D36,0)</f>
        <v>0</v>
      </c>
      <c r="H36" s="12" t="n">
        <f aca="false">SUMIFS(BASE_VENDAS!$D$2:$D$125,BASE_VENDAS!$A$2:$A$125,$A36,BASE_VENDAS!$C$2:$C$125,$B36)</f>
        <v>0</v>
      </c>
      <c r="I36" s="14" t="n">
        <f aca="false">IFERROR($H36/$E36,0)</f>
        <v>0</v>
      </c>
      <c r="J36" s="13" t="n">
        <f aca="false">$F36/$P$1*$R$1</f>
        <v>0</v>
      </c>
      <c r="K36" s="12" t="n">
        <f aca="false">$H36/$P$1*$R$1</f>
        <v>0</v>
      </c>
      <c r="L36" s="21" t="n">
        <f aca="false">IF((($E36-$H36)/($R$1-$P$1))&lt;0,0,($E36-$H36)/($R$1-$P$1))</f>
        <v>1.82222222222222</v>
      </c>
      <c r="M36" s="13" t="n">
        <f aca="false">IF((($D36-$F36)/($R$1-$P$1))&lt;0,0,($D36-$F36)/($R$1-$P$1))</f>
        <v>70.8357303703704</v>
      </c>
    </row>
    <row r="37" customFormat="false" ht="18.75" hidden="false" customHeight="true" outlineLevel="0" collapsed="false">
      <c r="A37" s="5" t="s">
        <v>20</v>
      </c>
      <c r="B37" s="9" t="s">
        <v>7</v>
      </c>
      <c r="C37" s="8" t="n">
        <f aca="false">IF(ISNUMBER(INDEX('METAS E PESOS'!$D$3:$N$17,MATCH($A37,'METAS E PESOS'!$A$3:$A$17,0),MATCH($B37,'METAS E PESOS'!$D$2:$N$2,0))),INDEX('METAS E PESOS'!$D$3:$N$17,MATCH($A37,'METAS E PESOS'!$A$3:$A$17,0),MATCH($B37,'METAS E PESOS'!$D$2:$N$2,0)),0)</f>
        <v>0.207</v>
      </c>
      <c r="D37" s="7" t="n">
        <f aca="false">INDEX('METAS E PESOS'!$C$3:$C$17,MATCH($A37,'METAS E PESOS'!$A$3:$A$17,0))*$C37</f>
        <v>4828.05972</v>
      </c>
      <c r="E37" s="22" t="n">
        <f aca="false">INDEX('METAS E PESOS'!$B$3:$B$17,MATCH($A37,'METAS E PESOS'!$A$3:$A$17,0))*$C37</f>
        <v>124.2</v>
      </c>
      <c r="F37" s="7" t="n">
        <f aca="false">SUMIFS(BASE_VENDAS!$E$2:$E$125,BASE_VENDAS!$A$2:$A$125,$A37,BASE_VENDAS!$C$2:$C$125,$B37)</f>
        <v>6397.96</v>
      </c>
      <c r="G37" s="8" t="n">
        <f aca="false">IFERROR($F37/$D37,0)</f>
        <v>1.32516173598615</v>
      </c>
      <c r="H37" s="6" t="n">
        <f aca="false">SUMIFS(BASE_VENDAS!$D$2:$D$125,BASE_VENDAS!$A$2:$A$125,$A37,BASE_VENDAS!$C$2:$C$125,$B37)</f>
        <v>128</v>
      </c>
      <c r="I37" s="8" t="n">
        <f aca="false">IFERROR($H37/$E37,0)</f>
        <v>1.03059581320451</v>
      </c>
      <c r="J37" s="7" t="n">
        <f aca="false">$F37/$P$1*$R$1</f>
        <v>63979.6</v>
      </c>
      <c r="K37" s="6" t="n">
        <f aca="false">$H37/$P$1*$R$1</f>
        <v>1280</v>
      </c>
      <c r="L37" s="22" t="n">
        <f aca="false">IF((($E37-$H37)/($R$1-$P$1))&lt;0,0,($E37-$H37)/($R$1-$P$1))</f>
        <v>0</v>
      </c>
      <c r="M37" s="7" t="n">
        <f aca="false">IF((($D37-$F37)/($R$1-$P$1))&lt;0,0,($D37-$F37)/($R$1-$P$1))</f>
        <v>0</v>
      </c>
    </row>
    <row r="38" customFormat="false" ht="18.75" hidden="false" customHeight="true" outlineLevel="0" collapsed="false">
      <c r="A38" s="11" t="s">
        <v>20</v>
      </c>
      <c r="B38" s="16" t="s">
        <v>8</v>
      </c>
      <c r="C38" s="14" t="n">
        <f aca="false">IF(ISNUMBER(INDEX('METAS E PESOS'!$D$3:$N$17,MATCH($A38,'METAS E PESOS'!$A$3:$A$17,0),MATCH($B38,'METAS E PESOS'!$D$2:$N$2,0))),INDEX('METAS E PESOS'!$D$3:$N$17,MATCH($A38,'METAS E PESOS'!$A$3:$A$17,0),MATCH($B38,'METAS E PESOS'!$D$2:$N$2,0)),0)</f>
        <v>0.02</v>
      </c>
      <c r="D38" s="13" t="n">
        <f aca="false">INDEX('METAS E PESOS'!$C$3:$C$17,MATCH($A38,'METAS E PESOS'!$A$3:$A$17,0))*$C38</f>
        <v>466.4792</v>
      </c>
      <c r="E38" s="21" t="n">
        <f aca="false">INDEX('METAS E PESOS'!$B$3:$B$17,MATCH($A38,'METAS E PESOS'!$A$3:$A$17,0))*$C38</f>
        <v>12</v>
      </c>
      <c r="F38" s="13" t="n">
        <f aca="false">SUMIFS(BASE_VENDAS!$E$2:$E$125,BASE_VENDAS!$A$2:$A$125,$A38,BASE_VENDAS!$C$2:$C$125,$B38)</f>
        <v>0</v>
      </c>
      <c r="G38" s="14" t="n">
        <f aca="false">IFERROR($F38/$D38,0)</f>
        <v>0</v>
      </c>
      <c r="H38" s="12" t="n">
        <f aca="false">SUMIFS(BASE_VENDAS!$D$2:$D$125,BASE_VENDAS!$A$2:$A$125,$A38,BASE_VENDAS!$C$2:$C$125,$B38)</f>
        <v>0</v>
      </c>
      <c r="I38" s="14" t="n">
        <f aca="false">IFERROR($H38/$E38,0)</f>
        <v>0</v>
      </c>
      <c r="J38" s="13" t="n">
        <f aca="false">$F38/$P$1*$R$1</f>
        <v>0</v>
      </c>
      <c r="K38" s="12" t="n">
        <f aca="false">$H38/$P$1*$R$1</f>
        <v>0</v>
      </c>
      <c r="L38" s="21" t="n">
        <f aca="false">IF((($E38-$H38)/($R$1-$P$1))&lt;0,0,($E38-$H38)/($R$1-$P$1))</f>
        <v>0.444444444444444</v>
      </c>
      <c r="M38" s="13" t="n">
        <f aca="false">IF((($D38-$F38)/($R$1-$P$1))&lt;0,0,($D38-$F38)/($R$1-$P$1))</f>
        <v>17.2770074074074</v>
      </c>
    </row>
    <row r="39" customFormat="false" ht="18.75" hidden="false" customHeight="true" outlineLevel="0" collapsed="false">
      <c r="A39" s="5" t="s">
        <v>20</v>
      </c>
      <c r="B39" s="9" t="s">
        <v>9</v>
      </c>
      <c r="C39" s="8" t="n">
        <f aca="false">IF(ISNUMBER(INDEX('METAS E PESOS'!$D$3:$N$17,MATCH($A39,'METAS E PESOS'!$A$3:$A$17,0),MATCH($B39,'METAS E PESOS'!$D$2:$N$2,0))),INDEX('METAS E PESOS'!$D$3:$N$17,MATCH($A39,'METAS E PESOS'!$A$3:$A$17,0),MATCH($B39,'METAS E PESOS'!$D$2:$N$2,0)),0)</f>
        <v>0.125</v>
      </c>
      <c r="D39" s="7" t="n">
        <f aca="false">INDEX('METAS E PESOS'!$C$3:$C$17,MATCH($A39,'METAS E PESOS'!$A$3:$A$17,0))*$C39</f>
        <v>2915.495</v>
      </c>
      <c r="E39" s="22" t="n">
        <f aca="false">INDEX('METAS E PESOS'!$B$3:$B$17,MATCH($A39,'METAS E PESOS'!$A$3:$A$17,0))*$C39</f>
        <v>75</v>
      </c>
      <c r="F39" s="7" t="n">
        <f aca="false">SUMIFS(BASE_VENDAS!$E$2:$E$125,BASE_VENDAS!$A$2:$A$125,$A39,BASE_VENDAS!$C$2:$C$125,$B39)</f>
        <v>89.47</v>
      </c>
      <c r="G39" s="8" t="n">
        <f aca="false">IFERROR($F39/$D39,0)</f>
        <v>0.0306877562815234</v>
      </c>
      <c r="H39" s="6" t="n">
        <f aca="false">SUMIFS(BASE_VENDAS!$D$2:$D$125,BASE_VENDAS!$A$2:$A$125,$A39,BASE_VENDAS!$C$2:$C$125,$B39)</f>
        <v>2</v>
      </c>
      <c r="I39" s="8" t="n">
        <f aca="false">IFERROR($H39/$E39,0)</f>
        <v>0.0266666666666667</v>
      </c>
      <c r="J39" s="7" t="n">
        <f aca="false">$F39/$P$1*$R$1</f>
        <v>894.7</v>
      </c>
      <c r="K39" s="6" t="n">
        <f aca="false">$H39/$P$1*$R$1</f>
        <v>20</v>
      </c>
      <c r="L39" s="22" t="n">
        <f aca="false">IF((($E39-$H39)/($R$1-$P$1))&lt;0,0,($E39-$H39)/($R$1-$P$1))</f>
        <v>2.7037037037037</v>
      </c>
      <c r="M39" s="7" t="n">
        <f aca="false">IF((($D39-$F39)/($R$1-$P$1))&lt;0,0,($D39-$F39)/($R$1-$P$1))</f>
        <v>104.667592592593</v>
      </c>
    </row>
    <row r="40" customFormat="false" ht="18.75" hidden="false" customHeight="true" outlineLevel="0" collapsed="false">
      <c r="A40" s="11" t="s">
        <v>20</v>
      </c>
      <c r="B40" s="16" t="s">
        <v>10</v>
      </c>
      <c r="C40" s="14" t="n">
        <f aca="false">IF(ISNUMBER(INDEX('METAS E PESOS'!$D$3:$N$17,MATCH($A40,'METAS E PESOS'!$A$3:$A$17,0),MATCH($B40,'METAS E PESOS'!$D$2:$N$2,0))),INDEX('METAS E PESOS'!$D$3:$N$17,MATCH($A40,'METAS E PESOS'!$A$3:$A$17,0),MATCH($B40,'METAS E PESOS'!$D$2:$N$2,0)),0)</f>
        <v>0.059</v>
      </c>
      <c r="D40" s="13" t="n">
        <f aca="false">INDEX('METAS E PESOS'!$C$3:$C$17,MATCH($A40,'METAS E PESOS'!$A$3:$A$17,0))*$C40</f>
        <v>1376.11364</v>
      </c>
      <c r="E40" s="21" t="n">
        <f aca="false">INDEX('METAS E PESOS'!$B$3:$B$17,MATCH($A40,'METAS E PESOS'!$A$3:$A$17,0))*$C40</f>
        <v>35.4</v>
      </c>
      <c r="F40" s="13" t="n">
        <f aca="false">SUMIFS(BASE_VENDAS!$E$2:$E$125,BASE_VENDAS!$A$2:$A$125,$A40,BASE_VENDAS!$C$2:$C$125,$B40)</f>
        <v>0</v>
      </c>
      <c r="G40" s="14" t="n">
        <f aca="false">IFERROR($F40/$D40,0)</f>
        <v>0</v>
      </c>
      <c r="H40" s="12" t="n">
        <f aca="false">SUMIFS(BASE_VENDAS!$D$2:$D$125,BASE_VENDAS!$A$2:$A$125,$A40,BASE_VENDAS!$C$2:$C$125,$B40)</f>
        <v>0</v>
      </c>
      <c r="I40" s="14" t="n">
        <f aca="false">IFERROR($H40/$E40,0)</f>
        <v>0</v>
      </c>
      <c r="J40" s="13" t="n">
        <f aca="false">$F40/$P$1*$R$1</f>
        <v>0</v>
      </c>
      <c r="K40" s="12" t="n">
        <f aca="false">$H40/$P$1*$R$1</f>
        <v>0</v>
      </c>
      <c r="L40" s="21" t="n">
        <f aca="false">IF((($E40-$H40)/($R$1-$P$1))&lt;0,0,($E40-$H40)/($R$1-$P$1))</f>
        <v>1.31111111111111</v>
      </c>
      <c r="M40" s="13" t="n">
        <f aca="false">IF((($D40-$F40)/($R$1-$P$1))&lt;0,0,($D40-$F40)/($R$1-$P$1))</f>
        <v>50.9671718518518</v>
      </c>
    </row>
    <row r="41" customFormat="false" ht="18.75" hidden="false" customHeight="true" outlineLevel="0" collapsed="false">
      <c r="A41" s="5" t="s">
        <v>20</v>
      </c>
      <c r="B41" s="9" t="s">
        <v>11</v>
      </c>
      <c r="C41" s="8" t="n">
        <f aca="false">IF(ISNUMBER(INDEX('METAS E PESOS'!$D$3:$N$17,MATCH($A41,'METAS E PESOS'!$A$3:$A$17,0),MATCH($B41,'METAS E PESOS'!$D$2:$N$2,0))),INDEX('METAS E PESOS'!$D$3:$N$17,MATCH($A41,'METAS E PESOS'!$A$3:$A$17,0),MATCH($B41,'METAS E PESOS'!$D$2:$N$2,0)),0)</f>
        <v>0.046</v>
      </c>
      <c r="D41" s="7" t="n">
        <f aca="false">INDEX('METAS E PESOS'!$C$3:$C$17,MATCH($A41,'METAS E PESOS'!$A$3:$A$17,0))*$C41</f>
        <v>1072.90216</v>
      </c>
      <c r="E41" s="22" t="n">
        <f aca="false">INDEX('METAS E PESOS'!$B$3:$B$17,MATCH($A41,'METAS E PESOS'!$A$3:$A$17,0))*$C41</f>
        <v>27.6</v>
      </c>
      <c r="F41" s="7" t="n">
        <f aca="false">SUMIFS(BASE_VENDAS!$E$2:$E$125,BASE_VENDAS!$A$2:$A$125,$A41,BASE_VENDAS!$C$2:$C$125,$B41)</f>
        <v>0</v>
      </c>
      <c r="G41" s="8" t="n">
        <f aca="false">IFERROR($F41/$D41,0)</f>
        <v>0</v>
      </c>
      <c r="H41" s="6" t="n">
        <f aca="false">SUMIFS(BASE_VENDAS!$D$2:$D$125,BASE_VENDAS!$A$2:$A$125,$A41,BASE_VENDAS!$C$2:$C$125,$B41)</f>
        <v>0</v>
      </c>
      <c r="I41" s="8" t="n">
        <f aca="false">IFERROR($H41/$E41,0)</f>
        <v>0</v>
      </c>
      <c r="J41" s="7" t="n">
        <f aca="false">$F41/$P$1*$R$1</f>
        <v>0</v>
      </c>
      <c r="K41" s="6" t="n">
        <f aca="false">$H41/$P$1*$R$1</f>
        <v>0</v>
      </c>
      <c r="L41" s="22" t="n">
        <f aca="false">IF((($E41-$H41)/($R$1-$P$1))&lt;0,0,($E41-$H41)/($R$1-$P$1))</f>
        <v>1.02222222222222</v>
      </c>
      <c r="M41" s="7" t="n">
        <f aca="false">IF((($D41-$F41)/($R$1-$P$1))&lt;0,0,($D41-$F41)/($R$1-$P$1))</f>
        <v>39.737117037037</v>
      </c>
    </row>
    <row r="42" customFormat="false" ht="18.75" hidden="false" customHeight="true" outlineLevel="0" collapsed="false">
      <c r="A42" s="11" t="s">
        <v>20</v>
      </c>
      <c r="B42" s="16" t="s">
        <v>12</v>
      </c>
      <c r="C42" s="14" t="n">
        <f aca="false">IF(ISNUMBER(INDEX('METAS E PESOS'!$D$3:$N$17,MATCH($A42,'METAS E PESOS'!$A$3:$A$17,0),MATCH($B42,'METAS E PESOS'!$D$2:$N$2,0))),INDEX('METAS E PESOS'!$D$3:$N$17,MATCH($A42,'METAS E PESOS'!$A$3:$A$17,0),MATCH($B42,'METAS E PESOS'!$D$2:$N$2,0)),0)</f>
        <v>0.264</v>
      </c>
      <c r="D42" s="13" t="n">
        <f aca="false">INDEX('METAS E PESOS'!$C$3:$C$17,MATCH($A42,'METAS E PESOS'!$A$3:$A$17,0))*$C42</f>
        <v>6157.52544</v>
      </c>
      <c r="E42" s="21" t="n">
        <f aca="false">INDEX('METAS E PESOS'!$B$3:$B$17,MATCH($A42,'METAS E PESOS'!$A$3:$A$17,0))*$C42</f>
        <v>158.4</v>
      </c>
      <c r="F42" s="13" t="n">
        <f aca="false">SUMIFS(BASE_VENDAS!$E$2:$E$125,BASE_VENDAS!$A$2:$A$125,$A42,BASE_VENDAS!$C$2:$C$125,$B42)</f>
        <v>5968.05</v>
      </c>
      <c r="G42" s="14" t="n">
        <f aca="false">IFERROR($F42/$D42,0)</f>
        <v>0.969228638704577</v>
      </c>
      <c r="H42" s="12" t="n">
        <f aca="false">SUMIFS(BASE_VENDAS!$D$2:$D$125,BASE_VENDAS!$A$2:$A$125,$A42,BASE_VENDAS!$C$2:$C$125,$B42)</f>
        <v>158</v>
      </c>
      <c r="I42" s="14" t="n">
        <f aca="false">IFERROR($H42/$E42,0)</f>
        <v>0.997474747474747</v>
      </c>
      <c r="J42" s="13" t="n">
        <f aca="false">$F42/$P$1*$R$1</f>
        <v>59680.5</v>
      </c>
      <c r="K42" s="12" t="n">
        <f aca="false">$H42/$P$1*$R$1</f>
        <v>1580</v>
      </c>
      <c r="L42" s="21" t="n">
        <f aca="false">IF((($E42-$H42)/($R$1-$P$1))&lt;0,0,($E42-$H42)/($R$1-$P$1))</f>
        <v>0.014814814814815</v>
      </c>
      <c r="M42" s="13" t="n">
        <f aca="false">IF((($D42-$F42)/($R$1-$P$1))&lt;0,0,($D42-$F42)/($R$1-$P$1))</f>
        <v>7.0176088888889</v>
      </c>
    </row>
    <row r="43" customFormat="false" ht="18.75" hidden="false" customHeight="true" outlineLevel="0" collapsed="false">
      <c r="A43" s="5" t="s">
        <v>20</v>
      </c>
      <c r="B43" s="9" t="s">
        <v>13</v>
      </c>
      <c r="C43" s="8" t="n">
        <f aca="false">IF(ISNUMBER(INDEX('METAS E PESOS'!$D$3:$N$17,MATCH($A43,'METAS E PESOS'!$A$3:$A$17,0),MATCH($B43,'METAS E PESOS'!$D$2:$N$2,0))),INDEX('METAS E PESOS'!$D$3:$N$17,MATCH($A43,'METAS E PESOS'!$A$3:$A$17,0),MATCH($B43,'METAS E PESOS'!$D$2:$N$2,0)),0)</f>
        <v>0.059</v>
      </c>
      <c r="D43" s="7" t="n">
        <f aca="false">INDEX('METAS E PESOS'!$C$3:$C$17,MATCH($A43,'METAS E PESOS'!$A$3:$A$17,0))*$C43</f>
        <v>1376.11364</v>
      </c>
      <c r="E43" s="22" t="n">
        <f aca="false">INDEX('METAS E PESOS'!$B$3:$B$17,MATCH($A43,'METAS E PESOS'!$A$3:$A$17,0))*$C43</f>
        <v>35.4</v>
      </c>
      <c r="F43" s="7" t="n">
        <f aca="false">SUMIFS(BASE_VENDAS!$E$2:$E$125,BASE_VENDAS!$A$2:$A$125,$A43,BASE_VENDAS!$C$2:$C$125,$B43)</f>
        <v>0</v>
      </c>
      <c r="G43" s="8" t="n">
        <f aca="false">IFERROR($F43/$D43,0)</f>
        <v>0</v>
      </c>
      <c r="H43" s="6" t="n">
        <f aca="false">SUMIFS(BASE_VENDAS!$D$2:$D$125,BASE_VENDAS!$A$2:$A$125,$A43,BASE_VENDAS!$C$2:$C$125,$B43)</f>
        <v>0</v>
      </c>
      <c r="I43" s="8" t="n">
        <f aca="false">IFERROR($H43/$E43,0)</f>
        <v>0</v>
      </c>
      <c r="J43" s="7" t="n">
        <f aca="false">$F43/$P$1*$R$1</f>
        <v>0</v>
      </c>
      <c r="K43" s="6" t="n">
        <f aca="false">$H43/$P$1*$R$1</f>
        <v>0</v>
      </c>
      <c r="L43" s="22" t="n">
        <f aca="false">IF((($E43-$H43)/($R$1-$P$1))&lt;0,0,($E43-$H43)/($R$1-$P$1))</f>
        <v>1.31111111111111</v>
      </c>
      <c r="M43" s="7" t="n">
        <f aca="false">IF((($D43-$F43)/($R$1-$P$1))&lt;0,0,($D43-$F43)/($R$1-$P$1))</f>
        <v>50.9671718518518</v>
      </c>
    </row>
    <row r="44" customFormat="false" ht="18.75" hidden="false" customHeight="true" outlineLevel="0" collapsed="false">
      <c r="A44" s="11" t="s">
        <v>20</v>
      </c>
      <c r="B44" s="16" t="s">
        <v>14</v>
      </c>
      <c r="C44" s="14" t="n">
        <f aca="false">IF(ISNUMBER(INDEX('METAS E PESOS'!$D$3:$N$17,MATCH($A44,'METAS E PESOS'!$A$3:$A$17,0),MATCH($B44,'METAS E PESOS'!$D$2:$N$2,0))),INDEX('METAS E PESOS'!$D$3:$N$17,MATCH($A44,'METAS E PESOS'!$A$3:$A$17,0),MATCH($B44,'METAS E PESOS'!$D$2:$N$2,0)),0)</f>
        <v>0.059</v>
      </c>
      <c r="D44" s="13" t="n">
        <f aca="false">INDEX('METAS E PESOS'!$C$3:$C$17,MATCH($A44,'METAS E PESOS'!$A$3:$A$17,0))*$C44</f>
        <v>1376.11364</v>
      </c>
      <c r="E44" s="21" t="n">
        <f aca="false">INDEX('METAS E PESOS'!$B$3:$B$17,MATCH($A44,'METAS E PESOS'!$A$3:$A$17,0))*$C44</f>
        <v>35.4</v>
      </c>
      <c r="F44" s="13" t="n">
        <f aca="false">SUMIFS(BASE_VENDAS!$E$2:$E$125,BASE_VENDAS!$A$2:$A$125,$A44,BASE_VENDAS!$C$2:$C$125,$B44)</f>
        <v>0</v>
      </c>
      <c r="G44" s="14" t="n">
        <f aca="false">IFERROR($F44/$D44,0)</f>
        <v>0</v>
      </c>
      <c r="H44" s="12" t="n">
        <f aca="false">SUMIFS(BASE_VENDAS!$D$2:$D$125,BASE_VENDAS!$A$2:$A$125,$A44,BASE_VENDAS!$C$2:$C$125,$B44)</f>
        <v>0</v>
      </c>
      <c r="I44" s="14" t="n">
        <f aca="false">IFERROR($H44/$E44,0)</f>
        <v>0</v>
      </c>
      <c r="J44" s="13" t="n">
        <f aca="false">$F44/$P$1*$R$1</f>
        <v>0</v>
      </c>
      <c r="K44" s="12" t="n">
        <f aca="false">$H44/$P$1*$R$1</f>
        <v>0</v>
      </c>
      <c r="L44" s="21" t="n">
        <f aca="false">IF((($E44-$H44)/($R$1-$P$1))&lt;0,0,($E44-$H44)/($R$1-$P$1))</f>
        <v>1.31111111111111</v>
      </c>
      <c r="M44" s="13" t="n">
        <f aca="false">IF((($D44-$F44)/($R$1-$P$1))&lt;0,0,($D44-$F44)/($R$1-$P$1))</f>
        <v>50.9671718518518</v>
      </c>
    </row>
    <row r="45" customFormat="false" ht="18.75" hidden="false" customHeight="true" outlineLevel="0" collapsed="false">
      <c r="A45" s="5" t="s">
        <v>21</v>
      </c>
      <c r="B45" s="9" t="s">
        <v>5</v>
      </c>
      <c r="C45" s="8" t="n">
        <f aca="false">IF(ISNUMBER(INDEX('METAS E PESOS'!$D$3:$N$17,MATCH($A45,'METAS E PESOS'!$A$3:$A$17,0),MATCH($B45,'METAS E PESOS'!$D$2:$N$2,0))),INDEX('METAS E PESOS'!$D$3:$N$17,MATCH($A45,'METAS E PESOS'!$A$3:$A$17,0),MATCH($B45,'METAS E PESOS'!$D$2:$N$2,0)),0)</f>
        <v>0.063</v>
      </c>
      <c r="D45" s="7" t="n">
        <f aca="false">INDEX('METAS E PESOS'!$C$3:$C$17,MATCH($A45,'METAS E PESOS'!$A$3:$A$17,0))*$C45</f>
        <v>898.02405</v>
      </c>
      <c r="E45" s="22" t="n">
        <f aca="false">INDEX('METAS E PESOS'!$B$3:$B$17,MATCH($A45,'METAS E PESOS'!$A$3:$A$17,0))*$C45</f>
        <v>46.368</v>
      </c>
      <c r="F45" s="7" t="n">
        <f aca="false">SUMIFS(BASE_VENDAS!$E$2:$E$125,BASE_VENDAS!$A$2:$A$125,$A45,BASE_VENDAS!$C$2:$C$125,$B45)</f>
        <v>325.25</v>
      </c>
      <c r="G45" s="8" t="n">
        <f aca="false">IFERROR($F45/$D45,0)</f>
        <v>0.362184064001404</v>
      </c>
      <c r="H45" s="6" t="n">
        <f aca="false">SUMIFS(BASE_VENDAS!$D$2:$D$125,BASE_VENDAS!$A$2:$A$125,$A45,BASE_VENDAS!$C$2:$C$125,$B45)</f>
        <v>30</v>
      </c>
      <c r="I45" s="8" t="n">
        <f aca="false">IFERROR($H45/$E45,0)</f>
        <v>0.646997929606625</v>
      </c>
      <c r="J45" s="7" t="n">
        <f aca="false">$F45/$P$1*$R$1</f>
        <v>3252.5</v>
      </c>
      <c r="K45" s="6" t="n">
        <f aca="false">$H45/$P$1*$R$1</f>
        <v>300</v>
      </c>
      <c r="L45" s="22" t="n">
        <f aca="false">IF((($E45-$H45)/($R$1-$P$1))&lt;0,0,($E45-$H45)/($R$1-$P$1))</f>
        <v>0.606222222222222</v>
      </c>
      <c r="M45" s="7" t="n">
        <f aca="false">IF((($D45-$F45)/($R$1-$P$1))&lt;0,0,($D45-$F45)/($R$1-$P$1))</f>
        <v>21.2138537037037</v>
      </c>
    </row>
    <row r="46" customFormat="false" ht="18.75" hidden="false" customHeight="true" outlineLevel="0" collapsed="false">
      <c r="A46" s="11" t="s">
        <v>21</v>
      </c>
      <c r="B46" s="16" t="s">
        <v>6</v>
      </c>
      <c r="C46" s="14" t="n">
        <f aca="false">IF(ISNUMBER(INDEX('METAS E PESOS'!$D$3:$N$17,MATCH($A46,'METAS E PESOS'!$A$3:$A$17,0),MATCH($B46,'METAS E PESOS'!$D$2:$N$2,0))),INDEX('METAS E PESOS'!$D$3:$N$17,MATCH($A46,'METAS E PESOS'!$A$3:$A$17,0),MATCH($B46,'METAS E PESOS'!$D$2:$N$2,0)),0)</f>
        <v>0.072</v>
      </c>
      <c r="D46" s="13" t="n">
        <f aca="false">INDEX('METAS E PESOS'!$C$3:$C$17,MATCH($A46,'METAS E PESOS'!$A$3:$A$17,0))*$C46</f>
        <v>1026.3132</v>
      </c>
      <c r="E46" s="21" t="n">
        <f aca="false">INDEX('METAS E PESOS'!$B$3:$B$17,MATCH($A46,'METAS E PESOS'!$A$3:$A$17,0))*$C46</f>
        <v>52.992</v>
      </c>
      <c r="F46" s="13" t="n">
        <f aca="false">SUMIFS(BASE_VENDAS!$E$2:$E$125,BASE_VENDAS!$A$2:$A$125,$A46,BASE_VENDAS!$C$2:$C$125,$B46)</f>
        <v>920.33</v>
      </c>
      <c r="G46" s="14" t="n">
        <f aca="false">IFERROR($F46/$D46,0)</f>
        <v>0.896734057400801</v>
      </c>
      <c r="H46" s="12" t="n">
        <f aca="false">SUMIFS(BASE_VENDAS!$D$2:$D$125,BASE_VENDAS!$A$2:$A$125,$A46,BASE_VENDAS!$C$2:$C$125,$B46)</f>
        <v>60</v>
      </c>
      <c r="I46" s="14" t="n">
        <f aca="false">IFERROR($H46/$E46,0)</f>
        <v>1.13224637681159</v>
      </c>
      <c r="J46" s="13" t="n">
        <f aca="false">$F46/$P$1*$R$1</f>
        <v>9203.3</v>
      </c>
      <c r="K46" s="12" t="n">
        <f aca="false">$H46/$P$1*$R$1</f>
        <v>600</v>
      </c>
      <c r="L46" s="21" t="n">
        <f aca="false">IF((($E46-$H46)/($R$1-$P$1))&lt;0,0,($E46-$H46)/($R$1-$P$1))</f>
        <v>0</v>
      </c>
      <c r="M46" s="13" t="n">
        <f aca="false">IF((($D46-$F46)/($R$1-$P$1))&lt;0,0,($D46-$F46)/($R$1-$P$1))</f>
        <v>3.9253037037037</v>
      </c>
    </row>
    <row r="47" customFormat="false" ht="18.75" hidden="false" customHeight="true" outlineLevel="0" collapsed="false">
      <c r="A47" s="5" t="s">
        <v>21</v>
      </c>
      <c r="B47" s="9" t="s">
        <v>7</v>
      </c>
      <c r="C47" s="8" t="n">
        <f aca="false">IF(ISNUMBER(INDEX('METAS E PESOS'!$D$3:$N$17,MATCH($A47,'METAS E PESOS'!$A$3:$A$17,0),MATCH($B47,'METAS E PESOS'!$D$2:$N$2,0))),INDEX('METAS E PESOS'!$D$3:$N$17,MATCH($A47,'METAS E PESOS'!$A$3:$A$17,0),MATCH($B47,'METAS E PESOS'!$D$2:$N$2,0)),0)</f>
        <v>0.155</v>
      </c>
      <c r="D47" s="7" t="n">
        <f aca="false">INDEX('METAS E PESOS'!$C$3:$C$17,MATCH($A47,'METAS E PESOS'!$A$3:$A$17,0))*$C47</f>
        <v>2209.42425</v>
      </c>
      <c r="E47" s="22" t="n">
        <f aca="false">INDEX('METAS E PESOS'!$B$3:$B$17,MATCH($A47,'METAS E PESOS'!$A$3:$A$17,0))*$C47</f>
        <v>114.08</v>
      </c>
      <c r="F47" s="7" t="n">
        <f aca="false">SUMIFS(BASE_VENDAS!$E$2:$E$125,BASE_VENDAS!$A$2:$A$125,$A47,BASE_VENDAS!$C$2:$C$125,$B47)</f>
        <v>1260.63</v>
      </c>
      <c r="G47" s="8" t="n">
        <f aca="false">IFERROR($F47/$D47,0)</f>
        <v>0.570569459441753</v>
      </c>
      <c r="H47" s="6" t="n">
        <f aca="false">SUMIFS(BASE_VENDAS!$D$2:$D$125,BASE_VENDAS!$A$2:$A$125,$A47,BASE_VENDAS!$C$2:$C$125,$B47)</f>
        <v>84</v>
      </c>
      <c r="I47" s="8" t="n">
        <f aca="false">IFERROR($H47/$E47,0)</f>
        <v>0.73632538569425</v>
      </c>
      <c r="J47" s="7" t="n">
        <f aca="false">$F47/$P$1*$R$1</f>
        <v>12606.3</v>
      </c>
      <c r="K47" s="6" t="n">
        <f aca="false">$H47/$P$1*$R$1</f>
        <v>840</v>
      </c>
      <c r="L47" s="22" t="n">
        <f aca="false">IF((($E47-$H47)/($R$1-$P$1))&lt;0,0,($E47-$H47)/($R$1-$P$1))</f>
        <v>1.11407407407407</v>
      </c>
      <c r="M47" s="7" t="n">
        <f aca="false">IF((($D47-$F47)/($R$1-$P$1))&lt;0,0,($D47-$F47)/($R$1-$P$1))</f>
        <v>35.1405277777778</v>
      </c>
    </row>
    <row r="48" customFormat="false" ht="18.75" hidden="false" customHeight="true" outlineLevel="0" collapsed="false">
      <c r="A48" s="11" t="s">
        <v>21</v>
      </c>
      <c r="B48" s="16" t="s">
        <v>8</v>
      </c>
      <c r="C48" s="14" t="n">
        <f aca="false">IF(ISNUMBER(INDEX('METAS E PESOS'!$D$3:$N$17,MATCH($A48,'METAS E PESOS'!$A$3:$A$17,0),MATCH($B48,'METAS E PESOS'!$D$2:$N$2,0))),INDEX('METAS E PESOS'!$D$3:$N$17,MATCH($A48,'METAS E PESOS'!$A$3:$A$17,0),MATCH($B48,'METAS E PESOS'!$D$2:$N$2,0)),0)</f>
        <v>0.049</v>
      </c>
      <c r="D48" s="13" t="n">
        <f aca="false">INDEX('METAS E PESOS'!$C$3:$C$17,MATCH($A48,'METAS E PESOS'!$A$3:$A$17,0))*$C48</f>
        <v>698.46315</v>
      </c>
      <c r="E48" s="21" t="n">
        <f aca="false">INDEX('METAS E PESOS'!$B$3:$B$17,MATCH($A48,'METAS E PESOS'!$A$3:$A$17,0))*$C48</f>
        <v>36.064</v>
      </c>
      <c r="F48" s="13" t="n">
        <f aca="false">SUMIFS(BASE_VENDAS!$E$2:$E$125,BASE_VENDAS!$A$2:$A$125,$A48,BASE_VENDAS!$C$2:$C$125,$B48)</f>
        <v>344.14</v>
      </c>
      <c r="G48" s="14" t="n">
        <f aca="false">IFERROR($F48/$D48,0)</f>
        <v>0.49271031692939</v>
      </c>
      <c r="H48" s="12" t="n">
        <f aca="false">SUMIFS(BASE_VENDAS!$D$2:$D$125,BASE_VENDAS!$A$2:$A$125,$A48,BASE_VENDAS!$C$2:$C$125,$B48)</f>
        <v>20</v>
      </c>
      <c r="I48" s="14" t="n">
        <f aca="false">IFERROR($H48/$E48,0)</f>
        <v>0.554569653948536</v>
      </c>
      <c r="J48" s="13" t="n">
        <f aca="false">$F48/$P$1*$R$1</f>
        <v>3441.4</v>
      </c>
      <c r="K48" s="12" t="n">
        <f aca="false">$H48/$P$1*$R$1</f>
        <v>200</v>
      </c>
      <c r="L48" s="21" t="n">
        <f aca="false">IF((($E48-$H48)/($R$1-$P$1))&lt;0,0,($E48-$H48)/($R$1-$P$1))</f>
        <v>0.594962962962963</v>
      </c>
      <c r="M48" s="13" t="n">
        <f aca="false">IF((($D48-$F48)/($R$1-$P$1))&lt;0,0,($D48-$F48)/($R$1-$P$1))</f>
        <v>13.1230796296296</v>
      </c>
    </row>
    <row r="49" customFormat="false" ht="18.75" hidden="false" customHeight="true" outlineLevel="0" collapsed="false">
      <c r="A49" s="5" t="s">
        <v>21</v>
      </c>
      <c r="B49" s="9" t="s">
        <v>9</v>
      </c>
      <c r="C49" s="8" t="n">
        <f aca="false">IF(ISNUMBER(INDEX('METAS E PESOS'!$D$3:$N$17,MATCH($A49,'METAS E PESOS'!$A$3:$A$17,0),MATCH($B49,'METAS E PESOS'!$D$2:$N$2,0))),INDEX('METAS E PESOS'!$D$3:$N$17,MATCH($A49,'METAS E PESOS'!$A$3:$A$17,0),MATCH($B49,'METAS E PESOS'!$D$2:$N$2,0)),0)</f>
        <v>0.138</v>
      </c>
      <c r="D49" s="7" t="n">
        <f aca="false">INDEX('METAS E PESOS'!$C$3:$C$17,MATCH($A49,'METAS E PESOS'!$A$3:$A$17,0))*$C49</f>
        <v>1967.1003</v>
      </c>
      <c r="E49" s="22" t="n">
        <f aca="false">INDEX('METAS E PESOS'!$B$3:$B$17,MATCH($A49,'METAS E PESOS'!$A$3:$A$17,0))*$C49</f>
        <v>101.568</v>
      </c>
      <c r="F49" s="7" t="n">
        <f aca="false">SUMIFS(BASE_VENDAS!$E$2:$E$125,BASE_VENDAS!$A$2:$A$125,$A49,BASE_VENDAS!$C$2:$C$125,$B49)</f>
        <v>1183.99</v>
      </c>
      <c r="G49" s="8" t="n">
        <f aca="false">IFERROR($F49/$D49,0)</f>
        <v>0.601896100569961</v>
      </c>
      <c r="H49" s="6" t="n">
        <f aca="false">SUMIFS(BASE_VENDAS!$D$2:$D$125,BASE_VENDAS!$A$2:$A$125,$A49,BASE_VENDAS!$C$2:$C$125,$B49)</f>
        <v>42</v>
      </c>
      <c r="I49" s="8" t="n">
        <f aca="false">IFERROR($H49/$E49,0)</f>
        <v>0.41351606805293</v>
      </c>
      <c r="J49" s="7" t="n">
        <f aca="false">$F49/$P$1*$R$1</f>
        <v>11839.9</v>
      </c>
      <c r="K49" s="6" t="n">
        <f aca="false">$H49/$P$1*$R$1</f>
        <v>420</v>
      </c>
      <c r="L49" s="22" t="n">
        <f aca="false">IF((($E49-$H49)/($R$1-$P$1))&lt;0,0,($E49-$H49)/($R$1-$P$1))</f>
        <v>2.20622222222222</v>
      </c>
      <c r="M49" s="7" t="n">
        <f aca="false">IF((($D49-$F49)/($R$1-$P$1))&lt;0,0,($D49-$F49)/($R$1-$P$1))</f>
        <v>29.0040851851852</v>
      </c>
    </row>
    <row r="50" customFormat="false" ht="18.75" hidden="false" customHeight="true" outlineLevel="0" collapsed="false">
      <c r="A50" s="11" t="s">
        <v>21</v>
      </c>
      <c r="B50" s="16" t="s">
        <v>10</v>
      </c>
      <c r="C50" s="14" t="n">
        <f aca="false">IF(ISNUMBER(INDEX('METAS E PESOS'!$D$3:$N$17,MATCH($A50,'METAS E PESOS'!$A$3:$A$17,0),MATCH($B50,'METAS E PESOS'!$D$2:$N$2,0))),INDEX('METAS E PESOS'!$D$3:$N$17,MATCH($A50,'METAS E PESOS'!$A$3:$A$17,0),MATCH($B50,'METAS E PESOS'!$D$2:$N$2,0)),0)</f>
        <v>0.135</v>
      </c>
      <c r="D50" s="13" t="n">
        <f aca="false">INDEX('METAS E PESOS'!$C$3:$C$17,MATCH($A50,'METAS E PESOS'!$A$3:$A$17,0))*$C50</f>
        <v>1924.33725</v>
      </c>
      <c r="E50" s="21" t="n">
        <f aca="false">INDEX('METAS E PESOS'!$B$3:$B$17,MATCH($A50,'METAS E PESOS'!$A$3:$A$17,0))*$C50</f>
        <v>99.36</v>
      </c>
      <c r="F50" s="13" t="n">
        <f aca="false">SUMIFS(BASE_VENDAS!$E$2:$E$125,BASE_VENDAS!$A$2:$A$125,$A50,BASE_VENDAS!$C$2:$C$125,$B50)</f>
        <v>790.21</v>
      </c>
      <c r="G50" s="14" t="n">
        <f aca="false">IFERROR($F50/$D50,0)</f>
        <v>0.410640078811549</v>
      </c>
      <c r="H50" s="12" t="n">
        <f aca="false">SUMIFS(BASE_VENDAS!$D$2:$D$125,BASE_VENDAS!$A$2:$A$125,$A50,BASE_VENDAS!$C$2:$C$125,$B50)</f>
        <v>58</v>
      </c>
      <c r="I50" s="14" t="n">
        <f aca="false">IFERROR($H50/$E50,0)</f>
        <v>0.583735909822866</v>
      </c>
      <c r="J50" s="13" t="n">
        <f aca="false">$F50/$P$1*$R$1</f>
        <v>7902.1</v>
      </c>
      <c r="K50" s="12" t="n">
        <f aca="false">$H50/$P$1*$R$1</f>
        <v>580</v>
      </c>
      <c r="L50" s="21" t="n">
        <f aca="false">IF((($E50-$H50)/($R$1-$P$1))&lt;0,0,($E50-$H50)/($R$1-$P$1))</f>
        <v>1.53185185185185</v>
      </c>
      <c r="M50" s="13" t="n">
        <f aca="false">IF((($D50-$F50)/($R$1-$P$1))&lt;0,0,($D50-$F50)/($R$1-$P$1))</f>
        <v>42.004712962963</v>
      </c>
    </row>
    <row r="51" customFormat="false" ht="18.75" hidden="false" customHeight="true" outlineLevel="0" collapsed="false">
      <c r="A51" s="5" t="s">
        <v>21</v>
      </c>
      <c r="B51" s="9" t="s">
        <v>11</v>
      </c>
      <c r="C51" s="8" t="n">
        <f aca="false">IF(ISNUMBER(INDEX('METAS E PESOS'!$D$3:$N$17,MATCH($A51,'METAS E PESOS'!$A$3:$A$17,0),MATCH($B51,'METAS E PESOS'!$D$2:$N$2,0))),INDEX('METAS E PESOS'!$D$3:$N$17,MATCH($A51,'METAS E PESOS'!$A$3:$A$17,0),MATCH($B51,'METAS E PESOS'!$D$2:$N$2,0)),0)</f>
        <v>0.086</v>
      </c>
      <c r="D51" s="7" t="n">
        <f aca="false">INDEX('METAS E PESOS'!$C$3:$C$17,MATCH($A51,'METAS E PESOS'!$A$3:$A$17,0))*$C51</f>
        <v>1225.8741</v>
      </c>
      <c r="E51" s="22" t="n">
        <f aca="false">INDEX('METAS E PESOS'!$B$3:$B$17,MATCH($A51,'METAS E PESOS'!$A$3:$A$17,0))*$C51</f>
        <v>63.296</v>
      </c>
      <c r="F51" s="7" t="n">
        <f aca="false">SUMIFS(BASE_VENDAS!$E$2:$E$125,BASE_VENDAS!$A$2:$A$125,$A51,BASE_VENDAS!$C$2:$C$125,$B51)</f>
        <v>581.89</v>
      </c>
      <c r="G51" s="8" t="n">
        <f aca="false">IFERROR($F51/$D51,0)</f>
        <v>0.474673541108341</v>
      </c>
      <c r="H51" s="6" t="n">
        <f aca="false">SUMIFS(BASE_VENDAS!$D$2:$D$125,BASE_VENDAS!$A$2:$A$125,$A51,BASE_VENDAS!$C$2:$C$125,$B51)</f>
        <v>28</v>
      </c>
      <c r="I51" s="8" t="n">
        <f aca="false">IFERROR($H51/$E51,0)</f>
        <v>0.442366026289181</v>
      </c>
      <c r="J51" s="7" t="n">
        <f aca="false">$F51/$P$1*$R$1</f>
        <v>5818.9</v>
      </c>
      <c r="K51" s="6" t="n">
        <f aca="false">$H51/$P$1*$R$1</f>
        <v>280</v>
      </c>
      <c r="L51" s="22" t="n">
        <f aca="false">IF((($E51-$H51)/($R$1-$P$1))&lt;0,0,($E51-$H51)/($R$1-$P$1))</f>
        <v>1.30725925925926</v>
      </c>
      <c r="M51" s="7" t="n">
        <f aca="false">IF((($D51-$F51)/($R$1-$P$1))&lt;0,0,($D51-$F51)/($R$1-$P$1))</f>
        <v>23.851262962963</v>
      </c>
    </row>
    <row r="52" customFormat="false" ht="18.75" hidden="false" customHeight="true" outlineLevel="0" collapsed="false">
      <c r="A52" s="11" t="s">
        <v>21</v>
      </c>
      <c r="B52" s="16" t="s">
        <v>12</v>
      </c>
      <c r="C52" s="14" t="n">
        <f aca="false">IF(ISNUMBER(INDEX('METAS E PESOS'!$D$3:$N$17,MATCH($A52,'METAS E PESOS'!$A$3:$A$17,0),MATCH($B52,'METAS E PESOS'!$D$2:$N$2,0))),INDEX('METAS E PESOS'!$D$3:$N$17,MATCH($A52,'METAS E PESOS'!$A$3:$A$17,0),MATCH($B52,'METAS E PESOS'!$D$2:$N$2,0)),0)</f>
        <v>0.198</v>
      </c>
      <c r="D52" s="13" t="n">
        <f aca="false">INDEX('METAS E PESOS'!$C$3:$C$17,MATCH($A52,'METAS E PESOS'!$A$3:$A$17,0))*$C52</f>
        <v>2822.3613</v>
      </c>
      <c r="E52" s="21" t="n">
        <f aca="false">INDEX('METAS E PESOS'!$B$3:$B$17,MATCH($A52,'METAS E PESOS'!$A$3:$A$17,0))*$C52</f>
        <v>145.728</v>
      </c>
      <c r="F52" s="13" t="n">
        <f aca="false">SUMIFS(BASE_VENDAS!$E$2:$E$125,BASE_VENDAS!$A$2:$A$125,$A52,BASE_VENDAS!$C$2:$C$125,$B52)</f>
        <v>2351.9</v>
      </c>
      <c r="G52" s="14" t="n">
        <f aca="false">IFERROR($F52/$D52,0)</f>
        <v>0.833309328610763</v>
      </c>
      <c r="H52" s="12" t="n">
        <f aca="false">SUMIFS(BASE_VENDAS!$D$2:$D$125,BASE_VENDAS!$A$2:$A$125,$A52,BASE_VENDAS!$C$2:$C$125,$B52)</f>
        <v>148</v>
      </c>
      <c r="I52" s="14" t="n">
        <f aca="false">IFERROR($H52/$E52,0)</f>
        <v>1.01559068950373</v>
      </c>
      <c r="J52" s="13" t="n">
        <f aca="false">$F52/$P$1*$R$1</f>
        <v>23519</v>
      </c>
      <c r="K52" s="12" t="n">
        <f aca="false">$H52/$P$1*$R$1</f>
        <v>1480</v>
      </c>
      <c r="L52" s="21" t="n">
        <f aca="false">IF((($E52-$H52)/($R$1-$P$1))&lt;0,0,($E52-$H52)/($R$1-$P$1))</f>
        <v>0</v>
      </c>
      <c r="M52" s="13" t="n">
        <f aca="false">IF((($D52-$F52)/($R$1-$P$1))&lt;0,0,($D52-$F52)/($R$1-$P$1))</f>
        <v>17.4244925925926</v>
      </c>
    </row>
    <row r="53" customFormat="false" ht="18.75" hidden="false" customHeight="true" outlineLevel="0" collapsed="false">
      <c r="A53" s="5" t="s">
        <v>21</v>
      </c>
      <c r="B53" s="9" t="s">
        <v>13</v>
      </c>
      <c r="C53" s="8" t="n">
        <f aca="false">IF(ISNUMBER(INDEX('METAS E PESOS'!$D$3:$N$17,MATCH($A53,'METAS E PESOS'!$A$3:$A$17,0),MATCH($B53,'METAS E PESOS'!$D$2:$N$2,0))),INDEX('METAS E PESOS'!$D$3:$N$17,MATCH($A53,'METAS E PESOS'!$A$3:$A$17,0),MATCH($B53,'METAS E PESOS'!$D$2:$N$2,0)),0)</f>
        <v>0.044</v>
      </c>
      <c r="D53" s="7" t="n">
        <f aca="false">INDEX('METAS E PESOS'!$C$3:$C$17,MATCH($A53,'METAS E PESOS'!$A$3:$A$17,0))*$C53</f>
        <v>627.1914</v>
      </c>
      <c r="E53" s="22" t="n">
        <f aca="false">INDEX('METAS E PESOS'!$B$3:$B$17,MATCH($A53,'METAS E PESOS'!$A$3:$A$17,0))*$C53</f>
        <v>32.384</v>
      </c>
      <c r="F53" s="7" t="n">
        <f aca="false">SUMIFS(BASE_VENDAS!$E$2:$E$125,BASE_VENDAS!$A$2:$A$125,$A53,BASE_VENDAS!$C$2:$C$125,$B53)</f>
        <v>413.85</v>
      </c>
      <c r="G53" s="8" t="n">
        <f aca="false">IFERROR($F53/$D53,0)</f>
        <v>0.659846420088031</v>
      </c>
      <c r="H53" s="6" t="n">
        <f aca="false">SUMIFS(BASE_VENDAS!$D$2:$D$125,BASE_VENDAS!$A$2:$A$125,$A53,BASE_VENDAS!$C$2:$C$125,$B53)</f>
        <v>24</v>
      </c>
      <c r="I53" s="8" t="n">
        <f aca="false">IFERROR($H53/$E53,0)</f>
        <v>0.741106719367589</v>
      </c>
      <c r="J53" s="7" t="n">
        <f aca="false">$F53/$P$1*$R$1</f>
        <v>4138.5</v>
      </c>
      <c r="K53" s="6" t="n">
        <f aca="false">$H53/$P$1*$R$1</f>
        <v>240</v>
      </c>
      <c r="L53" s="22" t="n">
        <f aca="false">IF((($E53-$H53)/($R$1-$P$1))&lt;0,0,($E53-$H53)/($R$1-$P$1))</f>
        <v>0.310518518518519</v>
      </c>
      <c r="M53" s="7" t="n">
        <f aca="false">IF((($D53-$F53)/($R$1-$P$1))&lt;0,0,($D53-$F53)/($R$1-$P$1))</f>
        <v>7.90153333333333</v>
      </c>
    </row>
    <row r="54" customFormat="false" ht="18.75" hidden="false" customHeight="true" outlineLevel="0" collapsed="false">
      <c r="A54" s="11" t="s">
        <v>21</v>
      </c>
      <c r="B54" s="16" t="s">
        <v>14</v>
      </c>
      <c r="C54" s="14" t="n">
        <f aca="false">IF(ISNUMBER(INDEX('METAS E PESOS'!$D$3:$N$17,MATCH($A54,'METAS E PESOS'!$A$3:$A$17,0),MATCH($B54,'METAS E PESOS'!$D$2:$N$2,0))),INDEX('METAS E PESOS'!$D$3:$N$17,MATCH($A54,'METAS E PESOS'!$A$3:$A$17,0),MATCH($B54,'METAS E PESOS'!$D$2:$N$2,0)),0)</f>
        <v>0.06</v>
      </c>
      <c r="D54" s="13" t="n">
        <f aca="false">INDEX('METAS E PESOS'!$C$3:$C$17,MATCH($A54,'METAS E PESOS'!$A$3:$A$17,0))*$C54</f>
        <v>855.261</v>
      </c>
      <c r="E54" s="21" t="n">
        <f aca="false">INDEX('METAS E PESOS'!$B$3:$B$17,MATCH($A54,'METAS E PESOS'!$A$3:$A$17,0))*$C54</f>
        <v>44.16</v>
      </c>
      <c r="F54" s="13" t="n">
        <f aca="false">SUMIFS(BASE_VENDAS!$E$2:$E$125,BASE_VENDAS!$A$2:$A$125,$A54,BASE_VENDAS!$C$2:$C$125,$B54)</f>
        <v>888.47</v>
      </c>
      <c r="G54" s="14" t="n">
        <f aca="false">IFERROR($F54/$D54,0)</f>
        <v>1.03882908258415</v>
      </c>
      <c r="H54" s="12" t="n">
        <f aca="false">SUMIFS(BASE_VENDAS!$D$2:$D$125,BASE_VENDAS!$A$2:$A$125,$A54,BASE_VENDAS!$C$2:$C$125,$B54)</f>
        <v>40</v>
      </c>
      <c r="I54" s="14" t="n">
        <f aca="false">IFERROR($H54/$E54,0)</f>
        <v>0.905797101449275</v>
      </c>
      <c r="J54" s="13" t="n">
        <f aca="false">$F54/$P$1*$R$1</f>
        <v>8884.7</v>
      </c>
      <c r="K54" s="12" t="n">
        <f aca="false">$H54/$P$1*$R$1</f>
        <v>400</v>
      </c>
      <c r="L54" s="21" t="n">
        <f aca="false">IF((($E54-$H54)/($R$1-$P$1))&lt;0,0,($E54-$H54)/($R$1-$P$1))</f>
        <v>0.154074074074074</v>
      </c>
      <c r="M54" s="13" t="n">
        <f aca="false">IF((($D54-$F54)/($R$1-$P$1))&lt;0,0,($D54-$F54)/($R$1-$P$1))</f>
        <v>0</v>
      </c>
    </row>
    <row r="55" customFormat="false" ht="18.75" hidden="false" customHeight="true" outlineLevel="0" collapsed="false">
      <c r="A55" s="5" t="s">
        <v>22</v>
      </c>
      <c r="B55" s="9" t="s">
        <v>7</v>
      </c>
      <c r="C55" s="8" t="n">
        <f aca="false">IF(ISNUMBER(INDEX('METAS E PESOS'!$D$3:$N$17,MATCH($A55,'METAS E PESOS'!$A$3:$A$17,0),MATCH($B55,'METAS E PESOS'!$D$2:$N$2,0))),INDEX('METAS E PESOS'!$D$3:$N$17,MATCH($A55,'METAS E PESOS'!$A$3:$A$17,0),MATCH($B55,'METAS E PESOS'!$D$2:$N$2,0)),0)</f>
        <v>0.227</v>
      </c>
      <c r="D55" s="7" t="n">
        <f aca="false">INDEX('METAS E PESOS'!$C$3:$C$17,MATCH($A55,'METAS E PESOS'!$A$3:$A$17,0))*$C55</f>
        <v>9941.59212</v>
      </c>
      <c r="E55" s="22" t="n">
        <f aca="false">INDEX('METAS E PESOS'!$B$3:$B$17,MATCH($A55,'METAS E PESOS'!$A$3:$A$17,0))*$C55</f>
        <v>72.64</v>
      </c>
      <c r="F55" s="7" t="n">
        <f aca="false">SUMIFS(BASE_VENDAS!$E$2:$E$125,BASE_VENDAS!$A$2:$A$125,$A55,BASE_VENDAS!$C$2:$C$125,$B55)</f>
        <v>7597.61</v>
      </c>
      <c r="G55" s="8" t="n">
        <f aca="false">IFERROR($F55/$D55,0)</f>
        <v>0.764224674306996</v>
      </c>
      <c r="H55" s="6" t="n">
        <f aca="false">SUMIFS(BASE_VENDAS!$D$2:$D$125,BASE_VENDAS!$A$2:$A$125,$A55,BASE_VENDAS!$C$2:$C$125,$B55)</f>
        <v>72</v>
      </c>
      <c r="I55" s="8" t="n">
        <f aca="false">IFERROR($H55/$E55,0)</f>
        <v>0.991189427312775</v>
      </c>
      <c r="J55" s="7" t="n">
        <f aca="false">$F55/$P$1*$R$1</f>
        <v>75976.1</v>
      </c>
      <c r="K55" s="6" t="n">
        <f aca="false">$H55/$P$1*$R$1</f>
        <v>720</v>
      </c>
      <c r="L55" s="22" t="n">
        <f aca="false">IF((($E55-$H55)/($R$1-$P$1))&lt;0,0,($E55-$H55)/($R$1-$P$1))</f>
        <v>0.0237037037037037</v>
      </c>
      <c r="M55" s="7" t="n">
        <f aca="false">IF((($D55-$F55)/($R$1-$P$1))&lt;0,0,($D55-$F55)/($R$1-$P$1))</f>
        <v>86.8141525925926</v>
      </c>
    </row>
    <row r="56" customFormat="false" ht="18.75" hidden="false" customHeight="true" outlineLevel="0" collapsed="false">
      <c r="A56" s="11" t="s">
        <v>22</v>
      </c>
      <c r="B56" s="16" t="s">
        <v>9</v>
      </c>
      <c r="C56" s="14" t="n">
        <f aca="false">IF(ISNUMBER(INDEX('METAS E PESOS'!$D$3:$N$17,MATCH($A56,'METAS E PESOS'!$A$3:$A$17,0),MATCH($B56,'METAS E PESOS'!$D$2:$N$2,0))),INDEX('METAS E PESOS'!$D$3:$N$17,MATCH($A56,'METAS E PESOS'!$A$3:$A$17,0),MATCH($B56,'METAS E PESOS'!$D$2:$N$2,0)),0)</f>
        <v>0.136</v>
      </c>
      <c r="D56" s="13" t="n">
        <f aca="false">INDEX('METAS E PESOS'!$C$3:$C$17,MATCH($A56,'METAS E PESOS'!$A$3:$A$17,0))*$C56</f>
        <v>5956.19616</v>
      </c>
      <c r="E56" s="21" t="n">
        <f aca="false">INDEX('METAS E PESOS'!$B$3:$B$17,MATCH($A56,'METAS E PESOS'!$A$3:$A$17,0))*$C56</f>
        <v>43.52</v>
      </c>
      <c r="F56" s="13" t="n">
        <f aca="false">SUMIFS(BASE_VENDAS!$E$2:$E$125,BASE_VENDAS!$A$2:$A$125,$A56,BASE_VENDAS!$C$2:$C$125,$B56)</f>
        <v>2064.64</v>
      </c>
      <c r="G56" s="14" t="n">
        <f aca="false">IFERROR($F56/$D56,0)</f>
        <v>0.346637341104629</v>
      </c>
      <c r="H56" s="12" t="n">
        <f aca="false">SUMIFS(BASE_VENDAS!$D$2:$D$125,BASE_VENDAS!$A$2:$A$125,$A56,BASE_VENDAS!$C$2:$C$125,$B56)</f>
        <v>18</v>
      </c>
      <c r="I56" s="14" t="n">
        <f aca="false">IFERROR($H56/$E56,0)</f>
        <v>0.413602941176471</v>
      </c>
      <c r="J56" s="13" t="n">
        <f aca="false">$F56/$P$1*$R$1</f>
        <v>20646.4</v>
      </c>
      <c r="K56" s="12" t="n">
        <f aca="false">$H56/$P$1*$R$1</f>
        <v>180</v>
      </c>
      <c r="L56" s="21" t="n">
        <f aca="false">IF((($E56-$H56)/($R$1-$P$1))&lt;0,0,($E56-$H56)/($R$1-$P$1))</f>
        <v>0.945185185185185</v>
      </c>
      <c r="M56" s="13" t="n">
        <f aca="false">IF((($D56-$F56)/($R$1-$P$1))&lt;0,0,($D56-$F56)/($R$1-$P$1))</f>
        <v>144.13170962963</v>
      </c>
    </row>
    <row r="57" customFormat="false" ht="18.75" hidden="false" customHeight="true" outlineLevel="0" collapsed="false">
      <c r="A57" s="5" t="s">
        <v>22</v>
      </c>
      <c r="B57" s="9" t="s">
        <v>12</v>
      </c>
      <c r="C57" s="8" t="n">
        <f aca="false">IF(ISNUMBER(INDEX('METAS E PESOS'!$D$3:$N$17,MATCH($A57,'METAS E PESOS'!$A$3:$A$17,0),MATCH($B57,'METAS E PESOS'!$D$2:$N$2,0))),INDEX('METAS E PESOS'!$D$3:$N$17,MATCH($A57,'METAS E PESOS'!$A$3:$A$17,0),MATCH($B57,'METAS E PESOS'!$D$2:$N$2,0)),0)</f>
        <v>0.553030303030303</v>
      </c>
      <c r="D57" s="7" t="n">
        <f aca="false">INDEX('METAS E PESOS'!$C$3:$C$17,MATCH($A57,'METAS E PESOS'!$A$3:$A$17,0))*$C57</f>
        <v>24220.2718181818</v>
      </c>
      <c r="E57" s="22" t="n">
        <f aca="false">INDEX('METAS E PESOS'!$B$3:$B$17,MATCH($A57,'METAS E PESOS'!$A$3:$A$17,0))*$C57</f>
        <v>176.969696969697</v>
      </c>
      <c r="F57" s="7" t="n">
        <f aca="false">SUMIFS(BASE_VENDAS!$E$2:$E$125,BASE_VENDAS!$A$2:$A$125,$A57,BASE_VENDAS!$C$2:$C$125,$B57)</f>
        <v>6179.96</v>
      </c>
      <c r="G57" s="8" t="n">
        <f aca="false">IFERROR($F57/$D57,0)</f>
        <v>0.255156508828311</v>
      </c>
      <c r="H57" s="6" t="n">
        <f aca="false">SUMIFS(BASE_VENDAS!$D$2:$D$125,BASE_VENDAS!$A$2:$A$125,$A57,BASE_VENDAS!$C$2:$C$125,$B57)</f>
        <v>52</v>
      </c>
      <c r="I57" s="8" t="n">
        <f aca="false">IFERROR($H57/$E57,0)</f>
        <v>0.293835616438356</v>
      </c>
      <c r="J57" s="7" t="n">
        <f aca="false">$F57/$P$1*$R$1</f>
        <v>61799.6</v>
      </c>
      <c r="K57" s="6" t="n">
        <f aca="false">$H57/$P$1*$R$1</f>
        <v>520</v>
      </c>
      <c r="L57" s="22" t="n">
        <f aca="false">IF((($E57-$H57)/($R$1-$P$1))&lt;0,0,($E57-$H57)/($R$1-$P$1))</f>
        <v>4.62850729517396</v>
      </c>
      <c r="M57" s="7" t="n">
        <f aca="false">IF((($D57-$F57)/($R$1-$P$1))&lt;0,0,($D57-$F57)/($R$1-$P$1))</f>
        <v>668.159696969697</v>
      </c>
    </row>
    <row r="58" customFormat="false" ht="18.75" hidden="false" customHeight="true" outlineLevel="0" collapsed="false">
      <c r="A58" s="11" t="s">
        <v>22</v>
      </c>
      <c r="B58" s="16" t="s">
        <v>13</v>
      </c>
      <c r="C58" s="14" t="n">
        <f aca="false">IF(ISNUMBER(INDEX('METAS E PESOS'!$D$3:$N$17,MATCH($A58,'METAS E PESOS'!$A$3:$A$17,0),MATCH($B58,'METAS E PESOS'!$D$2:$N$2,0))),INDEX('METAS E PESOS'!$D$3:$N$17,MATCH($A58,'METAS E PESOS'!$A$3:$A$17,0),MATCH($B58,'METAS E PESOS'!$D$2:$N$2,0)),0)</f>
        <v>0.084</v>
      </c>
      <c r="D58" s="13" t="n">
        <f aca="false">INDEX('METAS E PESOS'!$C$3:$C$17,MATCH($A58,'METAS E PESOS'!$A$3:$A$17,0))*$C58</f>
        <v>3678.82704</v>
      </c>
      <c r="E58" s="21" t="n">
        <f aca="false">INDEX('METAS E PESOS'!$B$3:$B$17,MATCH($A58,'METAS E PESOS'!$A$3:$A$17,0))*$C58</f>
        <v>26.88</v>
      </c>
      <c r="F58" s="13" t="n">
        <f aca="false">SUMIFS(BASE_VENDAS!$E$2:$E$125,BASE_VENDAS!$A$2:$A$125,$A58,BASE_VENDAS!$C$2:$C$125,$B58)</f>
        <v>127.74</v>
      </c>
      <c r="G58" s="14" t="n">
        <f aca="false">IFERROR($F58/$D58,0)</f>
        <v>0.0347230241082495</v>
      </c>
      <c r="H58" s="12" t="n">
        <f aca="false">SUMIFS(BASE_VENDAS!$D$2:$D$125,BASE_VENDAS!$A$2:$A$125,$A58,BASE_VENDAS!$C$2:$C$125,$B58)</f>
        <v>4</v>
      </c>
      <c r="I58" s="14" t="n">
        <f aca="false">IFERROR($H58/$E58,0)</f>
        <v>0.148809523809524</v>
      </c>
      <c r="J58" s="13" t="n">
        <f aca="false">$F58/$P$1*$R$1</f>
        <v>1277.4</v>
      </c>
      <c r="K58" s="12" t="n">
        <f aca="false">$H58/$P$1*$R$1</f>
        <v>40</v>
      </c>
      <c r="L58" s="21" t="n">
        <f aca="false">IF((($E58-$H58)/($R$1-$P$1))&lt;0,0,($E58-$H58)/($R$1-$P$1))</f>
        <v>0.847407407407408</v>
      </c>
      <c r="M58" s="13" t="n">
        <f aca="false">IF((($D58-$F58)/($R$1-$P$1))&lt;0,0,($D58-$F58)/($R$1-$P$1))</f>
        <v>131.521742222222</v>
      </c>
    </row>
    <row r="59" customFormat="false" ht="18.75" hidden="false" customHeight="true" outlineLevel="0" collapsed="false">
      <c r="A59" s="5" t="s">
        <v>22</v>
      </c>
      <c r="B59" s="9" t="s">
        <v>15</v>
      </c>
      <c r="C59" s="8" t="n">
        <f aca="false">IF(ISNUMBER(INDEX('METAS E PESOS'!$D$3:$N$17,MATCH($A59,'METAS E PESOS'!$A$3:$A$17,0),MATCH($B59,'METAS E PESOS'!$D$2:$N$2,0))),INDEX('METAS E PESOS'!$D$3:$N$17,MATCH($A59,'METAS E PESOS'!$A$3:$A$17,0),MATCH($B59,'METAS E PESOS'!$D$2:$N$2,0)),0)</f>
        <v>0</v>
      </c>
      <c r="D59" s="7" t="n">
        <f aca="false">INDEX('METAS E PESOS'!$C$3:$C$17,MATCH($A59,'METAS E PESOS'!$A$3:$A$17,0))*$C59</f>
        <v>0</v>
      </c>
      <c r="E59" s="22" t="n">
        <f aca="false">INDEX('METAS E PESOS'!$B$3:$B$17,MATCH($A59,'METAS E PESOS'!$A$3:$A$17,0))*$C59</f>
        <v>0</v>
      </c>
      <c r="F59" s="7" t="n">
        <f aca="false">SUMIFS(BASE_VENDAS!$E$2:$E$125,BASE_VENDAS!$A$2:$A$125,$A59,BASE_VENDAS!$C$2:$C$125,$B59)</f>
        <v>4167.65</v>
      </c>
      <c r="G59" s="8" t="n">
        <f aca="false">IFERROR($F59/$D59,0)</f>
        <v>0</v>
      </c>
      <c r="H59" s="6" t="n">
        <f aca="false">SUMIFS(BASE_VENDAS!$D$2:$D$125,BASE_VENDAS!$A$2:$A$125,$A59,BASE_VENDAS!$C$2:$C$125,$B59)</f>
        <v>24</v>
      </c>
      <c r="I59" s="8" t="n">
        <f aca="false">IFERROR($H59/$E59,0)</f>
        <v>0</v>
      </c>
      <c r="J59" s="7" t="n">
        <f aca="false">$F59/$P$1*$R$1</f>
        <v>41676.5</v>
      </c>
      <c r="K59" s="6" t="n">
        <f aca="false">$H59/$P$1*$R$1</f>
        <v>240</v>
      </c>
      <c r="L59" s="22" t="n">
        <f aca="false">IF((($E59-$H59)/($R$1-$P$1))&lt;0,0,($E59-$H59)/($R$1-$P$1))</f>
        <v>0</v>
      </c>
      <c r="M59" s="7" t="n">
        <f aca="false">IF((($D59-$F59)/($R$1-$P$1))&lt;0,0,($D59-$F59)/($R$1-$P$1))</f>
        <v>0</v>
      </c>
    </row>
    <row r="60" customFormat="false" ht="18.75" hidden="false" customHeight="true" outlineLevel="0" collapsed="false">
      <c r="A60" s="11" t="s">
        <v>24</v>
      </c>
      <c r="B60" s="16" t="s">
        <v>5</v>
      </c>
      <c r="C60" s="14" t="n">
        <f aca="false">IF(ISNUMBER(INDEX('METAS E PESOS'!$D$3:$N$17,MATCH($A60,'METAS E PESOS'!$A$3:$A$17,0),MATCH($B60,'METAS E PESOS'!$D$2:$N$2,0))),INDEX('METAS E PESOS'!$D$3:$N$17,MATCH($A60,'METAS E PESOS'!$A$3:$A$17,0),MATCH($B60,'METAS E PESOS'!$D$2:$N$2,0)),0)</f>
        <v>0.023</v>
      </c>
      <c r="D60" s="13" t="n">
        <f aca="false">INDEX('METAS E PESOS'!$C$3:$C$17,MATCH($A60,'METAS E PESOS'!$A$3:$A$17,0))*$C60</f>
        <v>8762.34841</v>
      </c>
      <c r="E60" s="21" t="n">
        <f aca="false">INDEX('METAS E PESOS'!$B$3:$B$17,MATCH($A60,'METAS E PESOS'!$A$3:$A$17,0))*$C60</f>
        <v>206.77</v>
      </c>
      <c r="F60" s="13" t="n">
        <f aca="false">SUMIFS(BASE_VENDAS!$E$2:$E$125,BASE_VENDAS!$A$2:$A$125,$A60,BASE_VENDAS!$C$2:$C$125,$B60)</f>
        <v>4368.64</v>
      </c>
      <c r="G60" s="14" t="n">
        <f aca="false">IFERROR($F60/$D60,0)</f>
        <v>0.498569538163343</v>
      </c>
      <c r="H60" s="12" t="n">
        <f aca="false">SUMIFS(BASE_VENDAS!$D$2:$D$125,BASE_VENDAS!$A$2:$A$125,$A60,BASE_VENDAS!$C$2:$C$125,$B60)</f>
        <v>154</v>
      </c>
      <c r="I60" s="14" t="n">
        <f aca="false">IFERROR($H60/$E60,0)</f>
        <v>0.744788895874643</v>
      </c>
      <c r="J60" s="13" t="n">
        <f aca="false">$F60/$P$1*$R$1</f>
        <v>43686.4</v>
      </c>
      <c r="K60" s="12" t="n">
        <f aca="false">$H60/$P$1*$R$1</f>
        <v>1540</v>
      </c>
      <c r="L60" s="21" t="n">
        <f aca="false">IF((($E60-$H60)/($R$1-$P$1))&lt;0,0,($E60-$H60)/($R$1-$P$1))</f>
        <v>1.95444444444444</v>
      </c>
      <c r="M60" s="13" t="n">
        <f aca="false">IF((($D60-$F60)/($R$1-$P$1))&lt;0,0,($D60-$F60)/($R$1-$P$1))</f>
        <v>162.729941111111</v>
      </c>
    </row>
    <row r="61" customFormat="false" ht="18.75" hidden="false" customHeight="true" outlineLevel="0" collapsed="false">
      <c r="A61" s="5" t="s">
        <v>24</v>
      </c>
      <c r="B61" s="9" t="s">
        <v>6</v>
      </c>
      <c r="C61" s="8" t="n">
        <f aca="false">IF(ISNUMBER(INDEX('METAS E PESOS'!$D$3:$N$17,MATCH($A61,'METAS E PESOS'!$A$3:$A$17,0),MATCH($B61,'METAS E PESOS'!$D$2:$N$2,0))),INDEX('METAS E PESOS'!$D$3:$N$17,MATCH($A61,'METAS E PESOS'!$A$3:$A$17,0),MATCH($B61,'METAS E PESOS'!$D$2:$N$2,0)),0)</f>
        <v>0.035</v>
      </c>
      <c r="D61" s="7" t="n">
        <f aca="false">INDEX('METAS E PESOS'!$C$3:$C$17,MATCH($A61,'METAS E PESOS'!$A$3:$A$17,0))*$C61</f>
        <v>13334.00845</v>
      </c>
      <c r="E61" s="22" t="n">
        <f aca="false">INDEX('METAS E PESOS'!$B$3:$B$17,MATCH($A61,'METAS E PESOS'!$A$3:$A$17,0))*$C61</f>
        <v>314.65</v>
      </c>
      <c r="F61" s="7" t="n">
        <f aca="false">SUMIFS(BASE_VENDAS!$E$2:$E$125,BASE_VENDAS!$A$2:$A$125,$A61,BASE_VENDAS!$C$2:$C$125,$B61)</f>
        <v>10368.47</v>
      </c>
      <c r="G61" s="8" t="n">
        <f aca="false">IFERROR($F61/$D61,0)</f>
        <v>0.777595877404742</v>
      </c>
      <c r="H61" s="6" t="n">
        <f aca="false">SUMIFS(BASE_VENDAS!$D$2:$D$125,BASE_VENDAS!$A$2:$A$125,$A61,BASE_VENDAS!$C$2:$C$125,$B61)</f>
        <v>144</v>
      </c>
      <c r="I61" s="8" t="n">
        <f aca="false">IFERROR($H61/$E61,0)</f>
        <v>0.457651358652471</v>
      </c>
      <c r="J61" s="7" t="n">
        <f aca="false">$F61/$P$1*$R$1</f>
        <v>103684.7</v>
      </c>
      <c r="K61" s="6" t="n">
        <f aca="false">$H61/$P$1*$R$1</f>
        <v>1440</v>
      </c>
      <c r="L61" s="22" t="n">
        <f aca="false">IF((($E61-$H61)/($R$1-$P$1))&lt;0,0,($E61-$H61)/($R$1-$P$1))</f>
        <v>6.32037037037037</v>
      </c>
      <c r="M61" s="7" t="n">
        <f aca="false">IF((($D61-$F61)/($R$1-$P$1))&lt;0,0,($D61-$F61)/($R$1-$P$1))</f>
        <v>109.834757407407</v>
      </c>
    </row>
    <row r="62" customFormat="false" ht="18.75" hidden="false" customHeight="true" outlineLevel="0" collapsed="false">
      <c r="A62" s="11" t="s">
        <v>24</v>
      </c>
      <c r="B62" s="16" t="s">
        <v>7</v>
      </c>
      <c r="C62" s="14" t="n">
        <f aca="false">IF(ISNUMBER(INDEX('METAS E PESOS'!$D$3:$N$17,MATCH($A62,'METAS E PESOS'!$A$3:$A$17,0),MATCH($B62,'METAS E PESOS'!$D$2:$N$2,0))),INDEX('METAS E PESOS'!$D$3:$N$17,MATCH($A62,'METAS E PESOS'!$A$3:$A$17,0),MATCH($B62,'METAS E PESOS'!$D$2:$N$2,0)),0)</f>
        <v>0.241</v>
      </c>
      <c r="D62" s="13" t="n">
        <f aca="false">INDEX('METAS E PESOS'!$C$3:$C$17,MATCH($A62,'METAS E PESOS'!$A$3:$A$17,0))*$C62</f>
        <v>91814.17247</v>
      </c>
      <c r="E62" s="21" t="n">
        <f aca="false">INDEX('METAS E PESOS'!$B$3:$B$17,MATCH($A62,'METAS E PESOS'!$A$3:$A$17,0))*$C62</f>
        <v>2166.59</v>
      </c>
      <c r="F62" s="13" t="n">
        <f aca="false">SUMIFS(BASE_VENDAS!$E$2:$E$125,BASE_VENDAS!$A$2:$A$125,$A62,BASE_VENDAS!$C$2:$C$125,$B62)</f>
        <v>79100.7</v>
      </c>
      <c r="G62" s="14" t="n">
        <f aca="false">IFERROR($F62/$D62,0)</f>
        <v>0.861530392008335</v>
      </c>
      <c r="H62" s="12" t="n">
        <f aca="false">SUMIFS(BASE_VENDAS!$D$2:$D$125,BASE_VENDAS!$A$2:$A$125,$A62,BASE_VENDAS!$C$2:$C$125,$B62)</f>
        <v>1898</v>
      </c>
      <c r="I62" s="14" t="n">
        <f aca="false">IFERROR($H62/$E62,0)</f>
        <v>0.87603099801993</v>
      </c>
      <c r="J62" s="13" t="n">
        <f aca="false">$F62/$P$1*$R$1</f>
        <v>791007</v>
      </c>
      <c r="K62" s="12" t="n">
        <f aca="false">$H62/$P$1*$R$1</f>
        <v>18980</v>
      </c>
      <c r="L62" s="21" t="n">
        <f aca="false">IF((($E62-$H62)/($R$1-$P$1))&lt;0,0,($E62-$H62)/($R$1-$P$1))</f>
        <v>9.94777777777778</v>
      </c>
      <c r="M62" s="13" t="n">
        <f aca="false">IF((($D62-$F62)/($R$1-$P$1))&lt;0,0,($D62-$F62)/($R$1-$P$1))</f>
        <v>470.869350740741</v>
      </c>
    </row>
    <row r="63" customFormat="false" ht="18.75" hidden="false" customHeight="true" outlineLevel="0" collapsed="false">
      <c r="A63" s="5" t="s">
        <v>24</v>
      </c>
      <c r="B63" s="9" t="s">
        <v>9</v>
      </c>
      <c r="C63" s="8" t="n">
        <f aca="false">IF(ISNUMBER(INDEX('METAS E PESOS'!$D$3:$N$17,MATCH($A63,'METAS E PESOS'!$A$3:$A$17,0),MATCH($B63,'METAS E PESOS'!$D$2:$N$2,0))),INDEX('METAS E PESOS'!$D$3:$N$17,MATCH($A63,'METAS E PESOS'!$A$3:$A$17,0),MATCH($B63,'METAS E PESOS'!$D$2:$N$2,0)),0)</f>
        <v>0.11</v>
      </c>
      <c r="D63" s="7" t="n">
        <f aca="false">INDEX('METAS E PESOS'!$C$3:$C$17,MATCH($A63,'METAS E PESOS'!$A$3:$A$17,0))*$C63</f>
        <v>41906.8837</v>
      </c>
      <c r="E63" s="22" t="n">
        <f aca="false">INDEX('METAS E PESOS'!$B$3:$B$17,MATCH($A63,'METAS E PESOS'!$A$3:$A$17,0))*$C63</f>
        <v>988.9</v>
      </c>
      <c r="F63" s="7" t="n">
        <f aca="false">SUMIFS(BASE_VENDAS!$E$2:$E$125,BASE_VENDAS!$A$2:$A$125,$A63,BASE_VENDAS!$C$2:$C$125,$B63)</f>
        <v>27162.7</v>
      </c>
      <c r="G63" s="8" t="n">
        <f aca="false">IFERROR($F63/$D63,0)</f>
        <v>0.648167976279277</v>
      </c>
      <c r="H63" s="6" t="n">
        <f aca="false">SUMIFS(BASE_VENDAS!$D$2:$D$125,BASE_VENDAS!$A$2:$A$125,$A63,BASE_VENDAS!$C$2:$C$125,$B63)</f>
        <v>810</v>
      </c>
      <c r="I63" s="8" t="n">
        <f aca="false">IFERROR($H63/$E63,0)</f>
        <v>0.819091920315502</v>
      </c>
      <c r="J63" s="7" t="n">
        <f aca="false">$F63/$P$1*$R$1</f>
        <v>271627</v>
      </c>
      <c r="K63" s="6" t="n">
        <f aca="false">$H63/$P$1*$R$1</f>
        <v>8100</v>
      </c>
      <c r="L63" s="22" t="n">
        <f aca="false">IF((($E63-$H63)/($R$1-$P$1))&lt;0,0,($E63-$H63)/($R$1-$P$1))</f>
        <v>6.62592592592593</v>
      </c>
      <c r="M63" s="7" t="n">
        <f aca="false">IF((($D63-$F63)/($R$1-$P$1))&lt;0,0,($D63-$F63)/($R$1-$P$1))</f>
        <v>546.080877777778</v>
      </c>
    </row>
    <row r="64" customFormat="false" ht="18.75" hidden="false" customHeight="true" outlineLevel="0" collapsed="false">
      <c r="A64" s="11" t="s">
        <v>24</v>
      </c>
      <c r="B64" s="16" t="s">
        <v>10</v>
      </c>
      <c r="C64" s="14" t="n">
        <f aca="false">IF(ISNUMBER(INDEX('METAS E PESOS'!$D$3:$N$17,MATCH($A64,'METAS E PESOS'!$A$3:$A$17,0),MATCH($B64,'METAS E PESOS'!$D$2:$N$2,0))),INDEX('METAS E PESOS'!$D$3:$N$17,MATCH($A64,'METAS E PESOS'!$A$3:$A$17,0),MATCH($B64,'METAS E PESOS'!$D$2:$N$2,0)),0)</f>
        <v>0.043</v>
      </c>
      <c r="D64" s="13" t="n">
        <f aca="false">INDEX('METAS E PESOS'!$C$3:$C$17,MATCH($A64,'METAS E PESOS'!$A$3:$A$17,0))*$C64</f>
        <v>16381.78181</v>
      </c>
      <c r="E64" s="21" t="n">
        <f aca="false">INDEX('METAS E PESOS'!$B$3:$B$17,MATCH($A64,'METAS E PESOS'!$A$3:$A$17,0))*$C64</f>
        <v>386.57</v>
      </c>
      <c r="F64" s="13" t="n">
        <f aca="false">SUMIFS(BASE_VENDAS!$E$2:$E$125,BASE_VENDAS!$A$2:$A$125,$A64,BASE_VENDAS!$C$2:$C$125,$B64)</f>
        <v>9986.68</v>
      </c>
      <c r="G64" s="14" t="n">
        <f aca="false">IFERROR($F64/$D64,0)</f>
        <v>0.609621109341341</v>
      </c>
      <c r="H64" s="12" t="n">
        <f aca="false">SUMIFS(BASE_VENDAS!$D$2:$D$125,BASE_VENDAS!$A$2:$A$125,$A64,BASE_VENDAS!$C$2:$C$125,$B64)</f>
        <v>158</v>
      </c>
      <c r="I64" s="14" t="n">
        <f aca="false">IFERROR($H64/$E64,0)</f>
        <v>0.408722870372766</v>
      </c>
      <c r="J64" s="13" t="n">
        <f aca="false">$F64/$P$1*$R$1</f>
        <v>99866.8</v>
      </c>
      <c r="K64" s="12" t="n">
        <f aca="false">$H64/$P$1*$R$1</f>
        <v>1580</v>
      </c>
      <c r="L64" s="21" t="n">
        <f aca="false">IF((($E64-$H64)/($R$1-$P$1))&lt;0,0,($E64-$H64)/($R$1-$P$1))</f>
        <v>8.46555555555556</v>
      </c>
      <c r="M64" s="13" t="n">
        <f aca="false">IF((($D64-$F64)/($R$1-$P$1))&lt;0,0,($D64-$F64)/($R$1-$P$1))</f>
        <v>236.855622592593</v>
      </c>
    </row>
    <row r="65" customFormat="false" ht="18.75" hidden="false" customHeight="true" outlineLevel="0" collapsed="false">
      <c r="A65" s="5" t="s">
        <v>24</v>
      </c>
      <c r="B65" s="9" t="s">
        <v>11</v>
      </c>
      <c r="C65" s="8" t="n">
        <f aca="false">IF(ISNUMBER(INDEX('METAS E PESOS'!$D$3:$N$17,MATCH($A65,'METAS E PESOS'!$A$3:$A$17,0),MATCH($B65,'METAS E PESOS'!$D$2:$N$2,0))),INDEX('METAS E PESOS'!$D$3:$N$17,MATCH($A65,'METAS E PESOS'!$A$3:$A$17,0),MATCH($B65,'METAS E PESOS'!$D$2:$N$2,0)),0)</f>
        <v>0.048</v>
      </c>
      <c r="D65" s="7" t="n">
        <f aca="false">INDEX('METAS E PESOS'!$C$3:$C$17,MATCH($A65,'METAS E PESOS'!$A$3:$A$17,0))*$C65</f>
        <v>18286.64016</v>
      </c>
      <c r="E65" s="22" t="n">
        <f aca="false">INDEX('METAS E PESOS'!$B$3:$B$17,MATCH($A65,'METAS E PESOS'!$A$3:$A$17,0))*$C65</f>
        <v>431.52</v>
      </c>
      <c r="F65" s="7" t="n">
        <f aca="false">SUMIFS(BASE_VENDAS!$E$2:$E$125,BASE_VENDAS!$A$2:$A$125,$A65,BASE_VENDAS!$C$2:$C$125,$B65)</f>
        <v>15114.38</v>
      </c>
      <c r="G65" s="8" t="n">
        <f aca="false">IFERROR($F65/$D65,0)</f>
        <v>0.826525806148963</v>
      </c>
      <c r="H65" s="6" t="n">
        <f aca="false">SUMIFS(BASE_VENDAS!$D$2:$D$125,BASE_VENDAS!$A$2:$A$125,$A65,BASE_VENDAS!$C$2:$C$125,$B65)</f>
        <v>394</v>
      </c>
      <c r="I65" s="8" t="n">
        <f aca="false">IFERROR($H65/$E65,0)</f>
        <v>0.913051538746756</v>
      </c>
      <c r="J65" s="7" t="n">
        <f aca="false">$F65/$P$1*$R$1</f>
        <v>151143.8</v>
      </c>
      <c r="K65" s="6" t="n">
        <f aca="false">$H65/$P$1*$R$1</f>
        <v>3940</v>
      </c>
      <c r="L65" s="22" t="n">
        <f aca="false">IF((($E65-$H65)/($R$1-$P$1))&lt;0,0,($E65-$H65)/($R$1-$P$1))</f>
        <v>1.38962962962963</v>
      </c>
      <c r="M65" s="7" t="n">
        <f aca="false">IF((($D65-$F65)/($R$1-$P$1))&lt;0,0,($D65-$F65)/($R$1-$P$1))</f>
        <v>117.491117037037</v>
      </c>
    </row>
    <row r="66" customFormat="false" ht="18.75" hidden="false" customHeight="true" outlineLevel="0" collapsed="false">
      <c r="A66" s="11" t="s">
        <v>24</v>
      </c>
      <c r="B66" s="16" t="s">
        <v>12</v>
      </c>
      <c r="C66" s="14" t="n">
        <f aca="false">IF(ISNUMBER(INDEX('METAS E PESOS'!$D$3:$N$17,MATCH($A66,'METAS E PESOS'!$A$3:$A$17,0),MATCH($B66,'METAS E PESOS'!$D$2:$N$2,0))),INDEX('METAS E PESOS'!$D$3:$N$17,MATCH($A66,'METAS E PESOS'!$A$3:$A$17,0),MATCH($B66,'METAS E PESOS'!$D$2:$N$2,0)),0)</f>
        <v>0.29</v>
      </c>
      <c r="D66" s="13" t="n">
        <f aca="false">INDEX('METAS E PESOS'!$C$3:$C$17,MATCH($A66,'METAS E PESOS'!$A$3:$A$17,0))*$C66</f>
        <v>110481.7843</v>
      </c>
      <c r="E66" s="21" t="n">
        <f aca="false">INDEX('METAS E PESOS'!$B$3:$B$17,MATCH($A66,'METAS E PESOS'!$A$3:$A$17,0))*$C66</f>
        <v>2607.1</v>
      </c>
      <c r="F66" s="13" t="n">
        <f aca="false">SUMIFS(BASE_VENDAS!$E$2:$E$125,BASE_VENDAS!$A$2:$A$125,$A66,BASE_VENDAS!$C$2:$C$125,$B66)</f>
        <v>103329.74</v>
      </c>
      <c r="G66" s="14" t="n">
        <f aca="false">IFERROR($F66/$D66,0)</f>
        <v>0.935264945752691</v>
      </c>
      <c r="H66" s="12" t="n">
        <f aca="false">SUMIFS(BASE_VENDAS!$D$2:$D$125,BASE_VENDAS!$A$2:$A$125,$A66,BASE_VENDAS!$C$2:$C$125,$B66)</f>
        <v>2488</v>
      </c>
      <c r="I66" s="14" t="n">
        <f aca="false">IFERROR($H66/$E66,0)</f>
        <v>0.954317057266695</v>
      </c>
      <c r="J66" s="13" t="n">
        <f aca="false">$F66/$P$1*$R$1</f>
        <v>1033297.4</v>
      </c>
      <c r="K66" s="12" t="n">
        <f aca="false">$H66/$P$1*$R$1</f>
        <v>24880</v>
      </c>
      <c r="L66" s="21" t="n">
        <f aca="false">IF((($E66-$H66)/($R$1-$P$1))&lt;0,0,($E66-$H66)/($R$1-$P$1))</f>
        <v>4.41111111111111</v>
      </c>
      <c r="M66" s="13" t="n">
        <f aca="false">IF((($D66-$F66)/($R$1-$P$1))&lt;0,0,($D66-$F66)/($R$1-$P$1))</f>
        <v>264.890529629629</v>
      </c>
    </row>
    <row r="67" customFormat="false" ht="18.75" hidden="false" customHeight="true" outlineLevel="0" collapsed="false">
      <c r="A67" s="5" t="s">
        <v>24</v>
      </c>
      <c r="B67" s="9" t="s">
        <v>14</v>
      </c>
      <c r="C67" s="8" t="n">
        <f aca="false">IF(ISNUMBER(INDEX('METAS E PESOS'!$D$3:$N$17,MATCH($A67,'METAS E PESOS'!$A$3:$A$17,0),MATCH($B67,'METAS E PESOS'!$D$2:$N$2,0))),INDEX('METAS E PESOS'!$D$3:$N$17,MATCH($A67,'METAS E PESOS'!$A$3:$A$17,0),MATCH($B67,'METAS E PESOS'!$D$2:$N$2,0)),0)</f>
        <v>0.037</v>
      </c>
      <c r="D67" s="7" t="n">
        <f aca="false">INDEX('METAS E PESOS'!$C$3:$C$17,MATCH($A67,'METAS E PESOS'!$A$3:$A$17,0))*$C67</f>
        <v>14095.95179</v>
      </c>
      <c r="E67" s="22" t="n">
        <f aca="false">INDEX('METAS E PESOS'!$B$3:$B$17,MATCH($A67,'METAS E PESOS'!$A$3:$A$17,0))*$C67</f>
        <v>332.63</v>
      </c>
      <c r="F67" s="7" t="n">
        <f aca="false">SUMIFS(BASE_VENDAS!$E$2:$E$125,BASE_VENDAS!$A$2:$A$125,$A67,BASE_VENDAS!$C$2:$C$125,$B67)</f>
        <v>9390.85</v>
      </c>
      <c r="G67" s="8" t="n">
        <f aca="false">IFERROR($F67/$D67,0)</f>
        <v>0.666209003826339</v>
      </c>
      <c r="H67" s="6" t="n">
        <f aca="false">SUMIFS(BASE_VENDAS!$D$2:$D$125,BASE_VENDAS!$A$2:$A$125,$A67,BASE_VENDAS!$C$2:$C$125,$B67)</f>
        <v>202</v>
      </c>
      <c r="I67" s="8" t="n">
        <f aca="false">IFERROR($H67/$E67,0)</f>
        <v>0.607281363677359</v>
      </c>
      <c r="J67" s="7" t="n">
        <f aca="false">$F67/$P$1*$R$1</f>
        <v>93908.5</v>
      </c>
      <c r="K67" s="6" t="n">
        <f aca="false">$H67/$P$1*$R$1</f>
        <v>2020</v>
      </c>
      <c r="L67" s="22" t="n">
        <f aca="false">IF((($E67-$H67)/($R$1-$P$1))&lt;0,0,($E67-$H67)/($R$1-$P$1))</f>
        <v>4.83814814814815</v>
      </c>
      <c r="M67" s="7" t="n">
        <f aca="false">IF((($D67-$F67)/($R$1-$P$1))&lt;0,0,($D67-$F67)/($R$1-$P$1))</f>
        <v>174.263029259259</v>
      </c>
    </row>
    <row r="68" customFormat="false" ht="18.75" hidden="false" customHeight="true" outlineLevel="0" collapsed="false">
      <c r="A68" s="11" t="s">
        <v>24</v>
      </c>
      <c r="B68" s="16" t="s">
        <v>13</v>
      </c>
      <c r="C68" s="14" t="n">
        <f aca="false">IF(ISNUMBER(INDEX('METAS E PESOS'!$D$3:$N$17,MATCH($A68,'METAS E PESOS'!$A$3:$A$17,0),MATCH($B68,'METAS E PESOS'!$D$2:$N$2,0))),INDEX('METAS E PESOS'!$D$3:$N$17,MATCH($A68,'METAS E PESOS'!$A$3:$A$17,0),MATCH($B68,'METAS E PESOS'!$D$2:$N$2,0)),0)</f>
        <v>0.063</v>
      </c>
      <c r="D68" s="13" t="n">
        <f aca="false">INDEX('METAS E PESOS'!$C$3:$C$17,MATCH($A68,'METAS E PESOS'!$A$3:$A$17,0))*$C68</f>
        <v>24001.21521</v>
      </c>
      <c r="E68" s="21" t="n">
        <f aca="false">INDEX('METAS E PESOS'!$B$3:$B$17,MATCH($A68,'METAS E PESOS'!$A$3:$A$17,0))*$C68</f>
        <v>566.37</v>
      </c>
      <c r="F68" s="13" t="n">
        <f aca="false">SUMIFS(BASE_VENDAS!$E$2:$E$125,BASE_VENDAS!$A$2:$A$125,$A68,BASE_VENDAS!$C$2:$C$125,$B68)</f>
        <v>17759.65</v>
      </c>
      <c r="G68" s="14" t="n">
        <f aca="false">IFERROR($F68/$D68,0)</f>
        <v>0.739947950327137</v>
      </c>
      <c r="H68" s="12" t="n">
        <f aca="false">SUMIFS(BASE_VENDAS!$D$2:$D$125,BASE_VENDAS!$A$2:$A$125,$A68,BASE_VENDAS!$C$2:$C$125,$B68)</f>
        <v>404</v>
      </c>
      <c r="I68" s="14" t="n">
        <f aca="false">IFERROR($H68/$E68,0)</f>
        <v>0.713314617652771</v>
      </c>
      <c r="J68" s="13" t="n">
        <f aca="false">$F68/$P$1*$R$1</f>
        <v>177596.5</v>
      </c>
      <c r="K68" s="12" t="n">
        <f aca="false">$H68/$P$1*$R$1</f>
        <v>4040</v>
      </c>
      <c r="L68" s="21" t="n">
        <f aca="false">IF((($E68-$H68)/($R$1-$P$1))&lt;0,0,($E68-$H68)/($R$1-$P$1))</f>
        <v>6.0137037037037</v>
      </c>
      <c r="M68" s="13" t="n">
        <f aca="false">IF((($D68-$F68)/($R$1-$P$1))&lt;0,0,($D68-$F68)/($R$1-$P$1))</f>
        <v>231.169081851852</v>
      </c>
    </row>
    <row r="69" customFormat="false" ht="18.75" hidden="false" customHeight="true" outlineLevel="0" collapsed="false">
      <c r="A69" s="5" t="s">
        <v>24</v>
      </c>
      <c r="B69" s="9" t="s">
        <v>15</v>
      </c>
      <c r="C69" s="8" t="n">
        <f aca="false">IF(ISNUMBER(INDEX('METAS E PESOS'!$D$3:$N$17,MATCH($A69,'METAS E PESOS'!$A$3:$A$17,0),MATCH($B69,'METAS E PESOS'!$D$2:$N$2,0))),INDEX('METAS E PESOS'!$D$3:$N$17,MATCH($A69,'METAS E PESOS'!$A$3:$A$17,0),MATCH($B69,'METAS E PESOS'!$D$2:$N$2,0)),0)</f>
        <v>0.11</v>
      </c>
      <c r="D69" s="7" t="n">
        <f aca="false">INDEX('METAS E PESOS'!$C$3:$C$17,MATCH($A69,'METAS E PESOS'!$A$3:$A$17,0))*$C69</f>
        <v>41906.8837</v>
      </c>
      <c r="E69" s="22" t="n">
        <f aca="false">INDEX('METAS E PESOS'!$B$3:$B$17,MATCH($A69,'METAS E PESOS'!$A$3:$A$17,0))*$C69</f>
        <v>988.9</v>
      </c>
      <c r="F69" s="7" t="n">
        <f aca="false">SUMIFS(BASE_VENDAS!$E$2:$E$125,BASE_VENDAS!$A$2:$A$125,$A69,BASE_VENDAS!$C$2:$C$125,$B69)</f>
        <v>24619.06</v>
      </c>
      <c r="G69" s="8" t="n">
        <f aca="false">IFERROR($F69/$D69,0)</f>
        <v>0.587470549617604</v>
      </c>
      <c r="H69" s="6" t="n">
        <f aca="false">SUMIFS(BASE_VENDAS!$D$2:$D$125,BASE_VENDAS!$A$2:$A$125,$A69,BASE_VENDAS!$C$2:$C$125,$B69)</f>
        <v>504</v>
      </c>
      <c r="I69" s="8" t="n">
        <f aca="false">IFERROR($H69/$E69,0)</f>
        <v>0.509657194862979</v>
      </c>
      <c r="J69" s="7" t="n">
        <f aca="false">$F69/$P$1*$R$1</f>
        <v>246190.6</v>
      </c>
      <c r="K69" s="6" t="n">
        <f aca="false">$H69/$P$1*$R$1</f>
        <v>5040</v>
      </c>
      <c r="L69" s="22" t="n">
        <f aca="false">IF((($E69-$H69)/($R$1-$P$1))&lt;0,0,($E69-$H69)/($R$1-$P$1))</f>
        <v>17.9592592592593</v>
      </c>
      <c r="M69" s="7" t="n">
        <f aca="false">IF((($D69-$F69)/($R$1-$P$1))&lt;0,0,($D69-$F69)/($R$1-$P$1))</f>
        <v>640.289766666667</v>
      </c>
    </row>
    <row r="70" customFormat="false" ht="18.75" hidden="false" customHeight="true" outlineLevel="0" collapsed="false">
      <c r="A70" s="11" t="s">
        <v>25</v>
      </c>
      <c r="B70" s="16" t="s">
        <v>7</v>
      </c>
      <c r="C70" s="14" t="n">
        <f aca="false">IF(ISNUMBER(INDEX('METAS E PESOS'!$D$3:$N$17,MATCH($A70,'METAS E PESOS'!$A$3:$A$17,0),MATCH($B70,'METAS E PESOS'!$D$2:$N$2,0))),INDEX('METAS E PESOS'!$D$3:$N$17,MATCH($A70,'METAS E PESOS'!$A$3:$A$17,0),MATCH($B70,'METAS E PESOS'!$D$2:$N$2,0)),0)</f>
        <v>0.327338129496403</v>
      </c>
      <c r="D70" s="13" t="n">
        <f aca="false">INDEX('METAS E PESOS'!$C$3:$C$17,MATCH($A70,'METAS E PESOS'!$A$3:$A$17,0))*$C70</f>
        <v>2169.08974820144</v>
      </c>
      <c r="E70" s="21" t="n">
        <f aca="false">INDEX('METAS E PESOS'!$B$3:$B$17,MATCH($A70,'METAS E PESOS'!$A$3:$A$17,0))*$C70</f>
        <v>19.6402877697842</v>
      </c>
      <c r="F70" s="13" t="n">
        <f aca="false">SUMIFS(BASE_VENDAS!$E$2:$E$125,BASE_VENDAS!$A$2:$A$125,$A70,BASE_VENDAS!$C$2:$C$125,$B70)</f>
        <v>0</v>
      </c>
      <c r="G70" s="14" t="n">
        <f aca="false">IFERROR($F70/$D70,0)</f>
        <v>0</v>
      </c>
      <c r="H70" s="12" t="n">
        <f aca="false">SUMIFS(BASE_VENDAS!$D$2:$D$125,BASE_VENDAS!$A$2:$A$125,$A70,BASE_VENDAS!$C$2:$C$125,$B70)</f>
        <v>0</v>
      </c>
      <c r="I70" s="14" t="n">
        <f aca="false">IFERROR($H70/$E70,0)</f>
        <v>0</v>
      </c>
      <c r="J70" s="13" t="n">
        <f aca="false">$F70/$P$1*$R$1</f>
        <v>0</v>
      </c>
      <c r="K70" s="12" t="n">
        <f aca="false">$H70/$P$1*$R$1</f>
        <v>0</v>
      </c>
      <c r="L70" s="21" t="n">
        <f aca="false">IF((($E70-$H70)/($R$1-$P$1))&lt;0,0,($E70-$H70)/($R$1-$P$1))</f>
        <v>0.727418065547562</v>
      </c>
      <c r="M70" s="13" t="n">
        <f aca="false">IF((($D70-$F70)/($R$1-$P$1))&lt;0,0,($D70-$F70)/($R$1-$P$1))</f>
        <v>80.336657340794</v>
      </c>
    </row>
    <row r="71" customFormat="false" ht="18.75" hidden="false" customHeight="true" outlineLevel="0" collapsed="false">
      <c r="A71" s="5" t="s">
        <v>25</v>
      </c>
      <c r="B71" s="9" t="s">
        <v>9</v>
      </c>
      <c r="C71" s="8" t="n">
        <f aca="false">IF(ISNUMBER(INDEX('METAS E PESOS'!$D$3:$N$17,MATCH($A71,'METAS E PESOS'!$A$3:$A$17,0),MATCH($B71,'METAS E PESOS'!$D$2:$N$2,0))),INDEX('METAS E PESOS'!$D$3:$N$17,MATCH($A71,'METAS E PESOS'!$A$3:$A$17,0),MATCH($B71,'METAS E PESOS'!$D$2:$N$2,0)),0)</f>
        <v>0.201438848920863</v>
      </c>
      <c r="D71" s="7" t="n">
        <f aca="false">INDEX('METAS E PESOS'!$C$3:$C$17,MATCH($A71,'METAS E PESOS'!$A$3:$A$17,0))*$C71</f>
        <v>1334.82446043165</v>
      </c>
      <c r="E71" s="22" t="n">
        <f aca="false">INDEX('METAS E PESOS'!$B$3:$B$17,MATCH($A71,'METAS E PESOS'!$A$3:$A$17,0))*$C71</f>
        <v>12.0863309352518</v>
      </c>
      <c r="F71" s="7" t="n">
        <f aca="false">SUMIFS(BASE_VENDAS!$E$2:$E$125,BASE_VENDAS!$A$2:$A$125,$A71,BASE_VENDAS!$C$2:$C$125,$B71)</f>
        <v>0</v>
      </c>
      <c r="G71" s="8" t="n">
        <f aca="false">IFERROR($F71/$D71,0)</f>
        <v>0</v>
      </c>
      <c r="H71" s="6" t="n">
        <f aca="false">SUMIFS(BASE_VENDAS!$D$2:$D$125,BASE_VENDAS!$A$2:$A$125,$A71,BASE_VENDAS!$C$2:$C$125,$B71)</f>
        <v>0</v>
      </c>
      <c r="I71" s="8" t="n">
        <f aca="false">IFERROR($H71/$E71,0)</f>
        <v>0</v>
      </c>
      <c r="J71" s="7" t="n">
        <f aca="false">$F71/$P$1*$R$1</f>
        <v>0</v>
      </c>
      <c r="K71" s="6" t="n">
        <f aca="false">$H71/$P$1*$R$1</f>
        <v>0</v>
      </c>
      <c r="L71" s="22" t="n">
        <f aca="false">IF((($E71-$H71)/($R$1-$P$1))&lt;0,0,($E71-$H71)/($R$1-$P$1))</f>
        <v>0.447641886490807</v>
      </c>
      <c r="M71" s="7" t="n">
        <f aca="false">IF((($D71-$F71)/($R$1-$P$1))&lt;0,0,($D71-$F71)/($R$1-$P$1))</f>
        <v>49.4379429789502</v>
      </c>
    </row>
    <row r="72" customFormat="false" ht="18.75" hidden="false" customHeight="true" outlineLevel="0" collapsed="false">
      <c r="A72" s="11" t="s">
        <v>25</v>
      </c>
      <c r="B72" s="16" t="s">
        <v>12</v>
      </c>
      <c r="C72" s="14" t="n">
        <f aca="false">IF(ISNUMBER(INDEX('METAS E PESOS'!$D$3:$N$17,MATCH($A72,'METAS E PESOS'!$A$3:$A$17,0),MATCH($B72,'METAS E PESOS'!$D$2:$N$2,0))),INDEX('METAS E PESOS'!$D$3:$N$17,MATCH($A72,'METAS E PESOS'!$A$3:$A$17,0),MATCH($B72,'METAS E PESOS'!$D$2:$N$2,0)),0)</f>
        <v>0.471223021582734</v>
      </c>
      <c r="D72" s="13" t="n">
        <f aca="false">INDEX('METAS E PESOS'!$C$3:$C$17,MATCH($A72,'METAS E PESOS'!$A$3:$A$17,0))*$C72</f>
        <v>3122.53579136691</v>
      </c>
      <c r="E72" s="21" t="n">
        <f aca="false">INDEX('METAS E PESOS'!$B$3:$B$17,MATCH($A72,'METAS E PESOS'!$A$3:$A$17,0))*$C72</f>
        <v>28.273381294964</v>
      </c>
      <c r="F72" s="13" t="n">
        <f aca="false">SUMIFS(BASE_VENDAS!$E$2:$E$125,BASE_VENDAS!$A$2:$A$125,$A72,BASE_VENDAS!$C$2:$C$125,$B72)</f>
        <v>383.87</v>
      </c>
      <c r="G72" s="14" t="n">
        <f aca="false">IFERROR($F72/$D72,0)</f>
        <v>0.122935340264574</v>
      </c>
      <c r="H72" s="12" t="n">
        <f aca="false">SUMIFS(BASE_VENDAS!$D$2:$D$125,BASE_VENDAS!$A$2:$A$125,$A72,BASE_VENDAS!$C$2:$C$125,$B72)</f>
        <v>2</v>
      </c>
      <c r="I72" s="14" t="n">
        <f aca="false">IFERROR($H72/$E72,0)</f>
        <v>0.0707379134860051</v>
      </c>
      <c r="J72" s="13" t="n">
        <f aca="false">$F72/$P$1*$R$1</f>
        <v>3838.7</v>
      </c>
      <c r="K72" s="12" t="n">
        <f aca="false">$H72/$P$1*$R$1</f>
        <v>20</v>
      </c>
      <c r="L72" s="21" t="n">
        <f aca="false">IF((($E72-$H72)/($R$1-$P$1))&lt;0,0,($E72-$H72)/($R$1-$P$1))</f>
        <v>0.973088196109779</v>
      </c>
      <c r="M72" s="13" t="n">
        <f aca="false">IF((($D72-$F72)/($R$1-$P$1))&lt;0,0,($D72-$F72)/($R$1-$P$1))</f>
        <v>101.432066346922</v>
      </c>
    </row>
    <row r="73" customFormat="false" ht="18.75" hidden="false" customHeight="true" outlineLevel="0" collapsed="false">
      <c r="A73" s="5" t="s">
        <v>26</v>
      </c>
      <c r="B73" s="9" t="s">
        <v>5</v>
      </c>
      <c r="C73" s="8" t="n">
        <f aca="false">IF(ISNUMBER(INDEX('METAS E PESOS'!$D$3:$N$17,MATCH($A73,'METAS E PESOS'!$A$3:$A$17,0),MATCH($B73,'METAS E PESOS'!$D$2:$N$2,0))),INDEX('METAS E PESOS'!$D$3:$N$17,MATCH($A73,'METAS E PESOS'!$A$3:$A$17,0),MATCH($B73,'METAS E PESOS'!$D$2:$N$2,0)),0)</f>
        <v>0.062</v>
      </c>
      <c r="D73" s="7" t="n">
        <f aca="false">INDEX('METAS E PESOS'!$C$3:$C$17,MATCH($A73,'METAS E PESOS'!$A$3:$A$17,0))*$C73</f>
        <v>21167.02754</v>
      </c>
      <c r="E73" s="22" t="n">
        <f aca="false">INDEX('METAS E PESOS'!$B$3:$B$17,MATCH($A73,'METAS E PESOS'!$A$3:$A$17,0))*$C73</f>
        <v>460.412</v>
      </c>
      <c r="F73" s="7" t="n">
        <f aca="false">SUMIFS(BASE_VENDAS!$E$2:$E$125,BASE_VENDAS!$A$2:$A$125,$A73,BASE_VENDAS!$C$2:$C$125,$B73)</f>
        <v>16749.29</v>
      </c>
      <c r="G73" s="8" t="n">
        <f aca="false">IFERROR($F73/$D73,0)</f>
        <v>0.791291548534547</v>
      </c>
      <c r="H73" s="6" t="n">
        <f aca="false">SUMIFS(BASE_VENDAS!$D$2:$D$125,BASE_VENDAS!$A$2:$A$125,$A73,BASE_VENDAS!$C$2:$C$125,$B73)</f>
        <v>434</v>
      </c>
      <c r="I73" s="8" t="n">
        <f aca="false">IFERROR($H73/$E73,0)</f>
        <v>0.942633988688392</v>
      </c>
      <c r="J73" s="7" t="n">
        <f aca="false">$F73/$P$1*$R$1</f>
        <v>167492.9</v>
      </c>
      <c r="K73" s="6" t="n">
        <f aca="false">$H73/$P$1*$R$1</f>
        <v>4340</v>
      </c>
      <c r="L73" s="22" t="n">
        <f aca="false">IF((($E73-$H73)/($R$1-$P$1))&lt;0,0,($E73-$H73)/($R$1-$P$1))</f>
        <v>0.978222222222221</v>
      </c>
      <c r="M73" s="7" t="n">
        <f aca="false">IF((($D73-$F73)/($R$1-$P$1))&lt;0,0,($D73-$F73)/($R$1-$P$1))</f>
        <v>163.619908888889</v>
      </c>
    </row>
    <row r="74" customFormat="false" ht="18.75" hidden="false" customHeight="true" outlineLevel="0" collapsed="false">
      <c r="A74" s="11" t="s">
        <v>26</v>
      </c>
      <c r="B74" s="16" t="s">
        <v>6</v>
      </c>
      <c r="C74" s="14" t="n">
        <f aca="false">IF(ISNUMBER(INDEX('METAS E PESOS'!$D$3:$N$17,MATCH($A74,'METAS E PESOS'!$A$3:$A$17,0),MATCH($B74,'METAS E PESOS'!$D$2:$N$2,0))),INDEX('METAS E PESOS'!$D$3:$N$17,MATCH($A74,'METAS E PESOS'!$A$3:$A$17,0),MATCH($B74,'METAS E PESOS'!$D$2:$N$2,0)),0)</f>
        <v>0.0523</v>
      </c>
      <c r="D74" s="13" t="n">
        <f aca="false">INDEX('METAS E PESOS'!$C$3:$C$17,MATCH($A74,'METAS E PESOS'!$A$3:$A$17,0))*$C74</f>
        <v>17855.411941</v>
      </c>
      <c r="E74" s="21" t="n">
        <f aca="false">INDEX('METAS E PESOS'!$B$3:$B$17,MATCH($A74,'METAS E PESOS'!$A$3:$A$17,0))*$C74</f>
        <v>388.3798</v>
      </c>
      <c r="F74" s="13" t="n">
        <f aca="false">SUMIFS(BASE_VENDAS!$E$2:$E$125,BASE_VENDAS!$A$2:$A$125,$A74,BASE_VENDAS!$C$2:$C$125,$B74)</f>
        <v>11501.64</v>
      </c>
      <c r="G74" s="14" t="n">
        <f aca="false">IFERROR($F74/$D74,0)</f>
        <v>0.644154278714213</v>
      </c>
      <c r="H74" s="12" t="n">
        <f aca="false">SUMIFS(BASE_VENDAS!$D$2:$D$125,BASE_VENDAS!$A$2:$A$125,$A74,BASE_VENDAS!$C$2:$C$125,$B74)</f>
        <v>244</v>
      </c>
      <c r="I74" s="14" t="n">
        <f aca="false">IFERROR($H74/$E74,0)</f>
        <v>0.628251005845309</v>
      </c>
      <c r="J74" s="13" t="n">
        <f aca="false">$F74/$P$1*$R$1</f>
        <v>115016.4</v>
      </c>
      <c r="K74" s="12" t="n">
        <f aca="false">$H74/$P$1*$R$1</f>
        <v>2440</v>
      </c>
      <c r="L74" s="21" t="n">
        <f aca="false">IF((($E74-$H74)/($R$1-$P$1))&lt;0,0,($E74-$H74)/($R$1-$P$1))</f>
        <v>5.3474</v>
      </c>
      <c r="M74" s="13" t="n">
        <f aca="false">IF((($D74-$F74)/($R$1-$P$1))&lt;0,0,($D74-$F74)/($R$1-$P$1))</f>
        <v>235.324886703704</v>
      </c>
    </row>
    <row r="75" customFormat="false" ht="18.75" hidden="false" customHeight="true" outlineLevel="0" collapsed="false">
      <c r="A75" s="5" t="s">
        <v>26</v>
      </c>
      <c r="B75" s="9" t="s">
        <v>7</v>
      </c>
      <c r="C75" s="8" t="n">
        <f aca="false">IF(ISNUMBER(INDEX('METAS E PESOS'!$D$3:$N$17,MATCH($A75,'METAS E PESOS'!$A$3:$A$17,0),MATCH($B75,'METAS E PESOS'!$D$2:$N$2,0))),INDEX('METAS E PESOS'!$D$3:$N$17,MATCH($A75,'METAS E PESOS'!$A$3:$A$17,0),MATCH($B75,'METAS E PESOS'!$D$2:$N$2,0)),0)</f>
        <v>0.165</v>
      </c>
      <c r="D75" s="7" t="n">
        <f aca="false">INDEX('METAS E PESOS'!$C$3:$C$17,MATCH($A75,'METAS E PESOS'!$A$3:$A$17,0))*$C75</f>
        <v>56331.60555</v>
      </c>
      <c r="E75" s="22" t="n">
        <f aca="false">INDEX('METAS E PESOS'!$B$3:$B$17,MATCH($A75,'METAS E PESOS'!$A$3:$A$17,0))*$C75</f>
        <v>1225.29</v>
      </c>
      <c r="F75" s="7" t="n">
        <f aca="false">SUMIFS(BASE_VENDAS!$E$2:$E$125,BASE_VENDAS!$A$2:$A$125,$A75,BASE_VENDAS!$C$2:$C$125,$B75)</f>
        <v>37593.57</v>
      </c>
      <c r="G75" s="8" t="n">
        <f aca="false">IFERROR($F75/$D75,0)</f>
        <v>0.667361947754745</v>
      </c>
      <c r="H75" s="6" t="n">
        <f aca="false">SUMIFS(BASE_VENDAS!$D$2:$D$125,BASE_VENDAS!$A$2:$A$125,$A75,BASE_VENDAS!$C$2:$C$125,$B75)</f>
        <v>958</v>
      </c>
      <c r="I75" s="8" t="n">
        <f aca="false">IFERROR($H75/$E75,0)</f>
        <v>0.781855723951065</v>
      </c>
      <c r="J75" s="7" t="n">
        <f aca="false">$F75/$P$1*$R$1</f>
        <v>375935.7</v>
      </c>
      <c r="K75" s="6" t="n">
        <f aca="false">$H75/$P$1*$R$1</f>
        <v>9580</v>
      </c>
      <c r="L75" s="22" t="n">
        <f aca="false">IF((($E75-$H75)/($R$1-$P$1))&lt;0,0,($E75-$H75)/($R$1-$P$1))</f>
        <v>9.89962962962963</v>
      </c>
      <c r="M75" s="7" t="n">
        <f aca="false">IF((($D75-$F75)/($R$1-$P$1))&lt;0,0,($D75-$F75)/($R$1-$P$1))</f>
        <v>694.001316666667</v>
      </c>
    </row>
    <row r="76" customFormat="false" ht="18.75" hidden="false" customHeight="true" outlineLevel="0" collapsed="false">
      <c r="A76" s="11" t="s">
        <v>26</v>
      </c>
      <c r="B76" s="16" t="s">
        <v>8</v>
      </c>
      <c r="C76" s="14" t="n">
        <f aca="false">IF(ISNUMBER(INDEX('METAS E PESOS'!$D$3:$N$17,MATCH($A76,'METAS E PESOS'!$A$3:$A$17,0),MATCH($B76,'METAS E PESOS'!$D$2:$N$2,0))),INDEX('METAS E PESOS'!$D$3:$N$17,MATCH($A76,'METAS E PESOS'!$A$3:$A$17,0),MATCH($B76,'METAS E PESOS'!$D$2:$N$2,0)),0)</f>
        <v>0.02</v>
      </c>
      <c r="D76" s="13" t="n">
        <f aca="false">INDEX('METAS E PESOS'!$C$3:$C$17,MATCH($A76,'METAS E PESOS'!$A$3:$A$17,0))*$C76</f>
        <v>6828.0734</v>
      </c>
      <c r="E76" s="21" t="n">
        <f aca="false">INDEX('METAS E PESOS'!$B$3:$B$17,MATCH($A76,'METAS E PESOS'!$A$3:$A$17,0))*$C76</f>
        <v>148.52</v>
      </c>
      <c r="F76" s="13" t="n">
        <f aca="false">SUMIFS(BASE_VENDAS!$E$2:$E$125,BASE_VENDAS!$A$2:$A$125,$A76,BASE_VENDAS!$C$2:$C$125,$B76)</f>
        <v>3656.23</v>
      </c>
      <c r="G76" s="14" t="n">
        <f aca="false">IFERROR($F76/$D76,0)</f>
        <v>0.535470225027165</v>
      </c>
      <c r="H76" s="12" t="n">
        <f aca="false">SUMIFS(BASE_VENDAS!$D$2:$D$125,BASE_VENDAS!$A$2:$A$125,$A76,BASE_VENDAS!$C$2:$C$125,$B76)</f>
        <v>44</v>
      </c>
      <c r="I76" s="14" t="n">
        <f aca="false">IFERROR($H76/$E76,0)</f>
        <v>0.296256396444923</v>
      </c>
      <c r="J76" s="13" t="n">
        <f aca="false">$F76/$P$1*$R$1</f>
        <v>36562.3</v>
      </c>
      <c r="K76" s="12" t="n">
        <f aca="false">$H76/$P$1*$R$1</f>
        <v>440</v>
      </c>
      <c r="L76" s="21" t="n">
        <f aca="false">IF((($E76-$H76)/($R$1-$P$1))&lt;0,0,($E76-$H76)/($R$1-$P$1))</f>
        <v>3.87111111111111</v>
      </c>
      <c r="M76" s="13" t="n">
        <f aca="false">IF((($D76-$F76)/($R$1-$P$1))&lt;0,0,($D76-$F76)/($R$1-$P$1))</f>
        <v>117.475681481481</v>
      </c>
    </row>
    <row r="77" customFormat="false" ht="18.75" hidden="false" customHeight="true" outlineLevel="0" collapsed="false">
      <c r="A77" s="5" t="s">
        <v>26</v>
      </c>
      <c r="B77" s="9" t="s">
        <v>9</v>
      </c>
      <c r="C77" s="8" t="n">
        <f aca="false">IF(ISNUMBER(INDEX('METAS E PESOS'!$D$3:$N$17,MATCH($A77,'METAS E PESOS'!$A$3:$A$17,0),MATCH($B77,'METAS E PESOS'!$D$2:$N$2,0))),INDEX('METAS E PESOS'!$D$3:$N$17,MATCH($A77,'METAS E PESOS'!$A$3:$A$17,0),MATCH($B77,'METAS E PESOS'!$D$2:$N$2,0)),0)</f>
        <v>0.1294</v>
      </c>
      <c r="D77" s="7" t="n">
        <f aca="false">INDEX('METAS E PESOS'!$C$3:$C$17,MATCH($A77,'METAS E PESOS'!$A$3:$A$17,0))*$C77</f>
        <v>44177.634898</v>
      </c>
      <c r="E77" s="22" t="n">
        <f aca="false">INDEX('METAS E PESOS'!$B$3:$B$17,MATCH($A77,'METAS E PESOS'!$A$3:$A$17,0))*$C77</f>
        <v>960.9244</v>
      </c>
      <c r="F77" s="7" t="n">
        <f aca="false">SUMIFS(BASE_VENDAS!$E$2:$E$125,BASE_VENDAS!$A$2:$A$125,$A77,BASE_VENDAS!$C$2:$C$125,$B77)</f>
        <v>27945.2</v>
      </c>
      <c r="G77" s="8" t="n">
        <f aca="false">IFERROR($F77/$D77,0)</f>
        <v>0.632564420085448</v>
      </c>
      <c r="H77" s="6" t="n">
        <f aca="false">SUMIFS(BASE_VENDAS!$D$2:$D$125,BASE_VENDAS!$A$2:$A$125,$A77,BASE_VENDAS!$C$2:$C$125,$B77)</f>
        <v>740</v>
      </c>
      <c r="I77" s="8" t="n">
        <f aca="false">IFERROR($H77/$E77,0)</f>
        <v>0.770091799105112</v>
      </c>
      <c r="J77" s="7" t="n">
        <f aca="false">$F77/$P$1*$R$1</f>
        <v>279452</v>
      </c>
      <c r="K77" s="6" t="n">
        <f aca="false">$H77/$P$1*$R$1</f>
        <v>7400</v>
      </c>
      <c r="L77" s="22" t="n">
        <f aca="false">IF((($E77-$H77)/($R$1-$P$1))&lt;0,0,($E77-$H77)/($R$1-$P$1))</f>
        <v>8.18238518518518</v>
      </c>
      <c r="M77" s="7" t="n">
        <f aca="false">IF((($D77-$F77)/($R$1-$P$1))&lt;0,0,($D77-$F77)/($R$1-$P$1))</f>
        <v>601.201292518518</v>
      </c>
    </row>
    <row r="78" customFormat="false" ht="18.75" hidden="false" customHeight="true" outlineLevel="0" collapsed="false">
      <c r="A78" s="11" t="s">
        <v>26</v>
      </c>
      <c r="B78" s="16" t="s">
        <v>10</v>
      </c>
      <c r="C78" s="14" t="n">
        <f aca="false">IF(ISNUMBER(INDEX('METAS E PESOS'!$D$3:$N$17,MATCH($A78,'METAS E PESOS'!$A$3:$A$17,0),MATCH($B78,'METAS E PESOS'!$D$2:$N$2,0))),INDEX('METAS E PESOS'!$D$3:$N$17,MATCH($A78,'METAS E PESOS'!$A$3:$A$17,0),MATCH($B78,'METAS E PESOS'!$D$2:$N$2,0)),0)</f>
        <v>0.0794</v>
      </c>
      <c r="D78" s="13" t="n">
        <f aca="false">INDEX('METAS E PESOS'!$C$3:$C$17,MATCH($A78,'METAS E PESOS'!$A$3:$A$17,0))*$C78</f>
        <v>27107.451398</v>
      </c>
      <c r="E78" s="21" t="n">
        <f aca="false">INDEX('METAS E PESOS'!$B$3:$B$17,MATCH($A78,'METAS E PESOS'!$A$3:$A$17,0))*$C78</f>
        <v>589.6244</v>
      </c>
      <c r="F78" s="13" t="n">
        <f aca="false">SUMIFS(BASE_VENDAS!$E$2:$E$125,BASE_VENDAS!$A$2:$A$125,$A78,BASE_VENDAS!$C$2:$C$125,$B78)</f>
        <v>12676.77</v>
      </c>
      <c r="G78" s="14" t="n">
        <f aca="false">IFERROR($F78/$D78,0)</f>
        <v>0.467648906342235</v>
      </c>
      <c r="H78" s="12" t="n">
        <f aca="false">SUMIFS(BASE_VENDAS!$D$2:$D$125,BASE_VENDAS!$A$2:$A$125,$A78,BASE_VENDAS!$C$2:$C$125,$B78)</f>
        <v>274</v>
      </c>
      <c r="I78" s="14" t="n">
        <f aca="false">IFERROR($H78/$E78,0)</f>
        <v>0.464702614070924</v>
      </c>
      <c r="J78" s="13" t="n">
        <f aca="false">$F78/$P$1*$R$1</f>
        <v>126767.7</v>
      </c>
      <c r="K78" s="12" t="n">
        <f aca="false">$H78/$P$1*$R$1</f>
        <v>2740</v>
      </c>
      <c r="L78" s="21" t="n">
        <f aca="false">IF((($E78-$H78)/($R$1-$P$1))&lt;0,0,($E78-$H78)/($R$1-$P$1))</f>
        <v>11.6897925925926</v>
      </c>
      <c r="M78" s="13" t="n">
        <f aca="false">IF((($D78-$F78)/($R$1-$P$1))&lt;0,0,($D78-$F78)/($R$1-$P$1))</f>
        <v>534.469681407407</v>
      </c>
    </row>
    <row r="79" customFormat="false" ht="18.75" hidden="false" customHeight="true" outlineLevel="0" collapsed="false">
      <c r="A79" s="5" t="s">
        <v>26</v>
      </c>
      <c r="B79" s="9" t="s">
        <v>11</v>
      </c>
      <c r="C79" s="8" t="n">
        <f aca="false">IF(ISNUMBER(INDEX('METAS E PESOS'!$D$3:$N$17,MATCH($A79,'METAS E PESOS'!$A$3:$A$17,0),MATCH($B79,'METAS E PESOS'!$D$2:$N$2,0))),INDEX('METAS E PESOS'!$D$3:$N$17,MATCH($A79,'METAS E PESOS'!$A$3:$A$17,0),MATCH($B79,'METAS E PESOS'!$D$2:$N$2,0)),0)</f>
        <v>0.0739</v>
      </c>
      <c r="D79" s="7" t="n">
        <f aca="false">INDEX('METAS E PESOS'!$C$3:$C$17,MATCH($A79,'METAS E PESOS'!$A$3:$A$17,0))*$C79</f>
        <v>25229.731213</v>
      </c>
      <c r="E79" s="22" t="n">
        <f aca="false">INDEX('METAS E PESOS'!$B$3:$B$17,MATCH($A79,'METAS E PESOS'!$A$3:$A$17,0))*$C79</f>
        <v>548.7814</v>
      </c>
      <c r="F79" s="7" t="n">
        <f aca="false">SUMIFS(BASE_VENDAS!$E$2:$E$125,BASE_VENDAS!$A$2:$A$125,$A79,BASE_VENDAS!$C$2:$C$125,$B79)</f>
        <v>15852.47</v>
      </c>
      <c r="G79" s="8" t="n">
        <f aca="false">IFERROR($F79/$D79,0)</f>
        <v>0.628324965738509</v>
      </c>
      <c r="H79" s="6" t="n">
        <f aca="false">SUMIFS(BASE_VENDAS!$D$2:$D$125,BASE_VENDAS!$A$2:$A$125,$A79,BASE_VENDAS!$C$2:$C$125,$B79)</f>
        <v>378</v>
      </c>
      <c r="I79" s="8" t="n">
        <f aca="false">IFERROR($H79/$E79,0)</f>
        <v>0.688798855063237</v>
      </c>
      <c r="J79" s="7" t="n">
        <f aca="false">$F79/$P$1*$R$1</f>
        <v>158524.7</v>
      </c>
      <c r="K79" s="6" t="n">
        <f aca="false">$H79/$P$1*$R$1</f>
        <v>3780</v>
      </c>
      <c r="L79" s="22" t="n">
        <f aca="false">IF((($E79-$H79)/($R$1-$P$1))&lt;0,0,($E79-$H79)/($R$1-$P$1))</f>
        <v>6.32523703703704</v>
      </c>
      <c r="M79" s="7" t="n">
        <f aca="false">IF((($D79-$F79)/($R$1-$P$1))&lt;0,0,($D79-$F79)/($R$1-$P$1))</f>
        <v>347.305970851852</v>
      </c>
    </row>
    <row r="80" customFormat="false" ht="18.75" hidden="false" customHeight="true" outlineLevel="0" collapsed="false">
      <c r="A80" s="11" t="s">
        <v>26</v>
      </c>
      <c r="B80" s="16" t="s">
        <v>12</v>
      </c>
      <c r="C80" s="14" t="n">
        <f aca="false">IF(ISNUMBER(INDEX('METAS E PESOS'!$D$3:$N$17,MATCH($A80,'METAS E PESOS'!$A$3:$A$17,0),MATCH($B80,'METAS E PESOS'!$D$2:$N$2,0))),INDEX('METAS E PESOS'!$D$3:$N$17,MATCH($A80,'METAS E PESOS'!$A$3:$A$17,0),MATCH($B80,'METAS E PESOS'!$D$2:$N$2,0)),0)</f>
        <v>0.2</v>
      </c>
      <c r="D80" s="13" t="n">
        <f aca="false">INDEX('METAS E PESOS'!$C$3:$C$17,MATCH($A80,'METAS E PESOS'!$A$3:$A$17,0))*$C80</f>
        <v>68280.734</v>
      </c>
      <c r="E80" s="21" t="n">
        <f aca="false">INDEX('METAS E PESOS'!$B$3:$B$17,MATCH($A80,'METAS E PESOS'!$A$3:$A$17,0))*$C80</f>
        <v>1485.2</v>
      </c>
      <c r="F80" s="13" t="n">
        <f aca="false">SUMIFS(BASE_VENDAS!$E$2:$E$125,BASE_VENDAS!$A$2:$A$125,$A80,BASE_VENDAS!$C$2:$C$125,$B80)</f>
        <v>63771.72</v>
      </c>
      <c r="G80" s="14" t="n">
        <f aca="false">IFERROR($F80/$D80,0)</f>
        <v>0.933963597989442</v>
      </c>
      <c r="H80" s="12" t="n">
        <f aca="false">SUMIFS(BASE_VENDAS!$D$2:$D$125,BASE_VENDAS!$A$2:$A$125,$A80,BASE_VENDAS!$C$2:$C$125,$B80)</f>
        <v>1538</v>
      </c>
      <c r="I80" s="14" t="n">
        <f aca="false">IFERROR($H80/$E80,0)</f>
        <v>1.03555076757339</v>
      </c>
      <c r="J80" s="13" t="n">
        <f aca="false">$F80/$P$1*$R$1</f>
        <v>637717.2</v>
      </c>
      <c r="K80" s="12" t="n">
        <f aca="false">$H80/$P$1*$R$1</f>
        <v>15380</v>
      </c>
      <c r="L80" s="21" t="n">
        <f aca="false">IF((($E80-$H80)/($R$1-$P$1))&lt;0,0,($E80-$H80)/($R$1-$P$1))</f>
        <v>0</v>
      </c>
      <c r="M80" s="13" t="n">
        <f aca="false">IF((($D80-$F80)/($R$1-$P$1))&lt;0,0,($D80-$F80)/($R$1-$P$1))</f>
        <v>167.000518518518</v>
      </c>
    </row>
    <row r="81" customFormat="false" ht="18.75" hidden="false" customHeight="true" outlineLevel="0" collapsed="false">
      <c r="A81" s="5" t="s">
        <v>26</v>
      </c>
      <c r="B81" s="9" t="s">
        <v>13</v>
      </c>
      <c r="C81" s="8" t="n">
        <f aca="false">IF(ISNUMBER(INDEX('METAS E PESOS'!$D$3:$N$17,MATCH($A81,'METAS E PESOS'!$A$3:$A$17,0),MATCH($B81,'METAS E PESOS'!$D$2:$N$2,0))),INDEX('METAS E PESOS'!$D$3:$N$17,MATCH($A81,'METAS E PESOS'!$A$3:$A$17,0),MATCH($B81,'METAS E PESOS'!$D$2:$N$2,0)),0)</f>
        <v>0.0695</v>
      </c>
      <c r="D81" s="7" t="n">
        <f aca="false">INDEX('METAS E PESOS'!$C$3:$C$17,MATCH($A81,'METAS E PESOS'!$A$3:$A$17,0))*$C81</f>
        <v>23727.555065</v>
      </c>
      <c r="E81" s="22" t="n">
        <f aca="false">INDEX('METAS E PESOS'!$B$3:$B$17,MATCH($A81,'METAS E PESOS'!$A$3:$A$17,0))*$C81</f>
        <v>516.107</v>
      </c>
      <c r="F81" s="7" t="n">
        <f aca="false">SUMIFS(BASE_VENDAS!$E$2:$E$125,BASE_VENDAS!$A$2:$A$125,$A81,BASE_VENDAS!$C$2:$C$125,$B81)</f>
        <v>13001.87</v>
      </c>
      <c r="G81" s="8" t="n">
        <f aca="false">IFERROR($F81/$D81,0)</f>
        <v>0.547965012171809</v>
      </c>
      <c r="H81" s="6" t="n">
        <f aca="false">SUMIFS(BASE_VENDAS!$D$2:$D$125,BASE_VENDAS!$A$2:$A$125,$A81,BASE_VENDAS!$C$2:$C$125,$B81)</f>
        <v>270</v>
      </c>
      <c r="I81" s="8" t="n">
        <f aca="false">IFERROR($H81/$E81,0)</f>
        <v>0.523147331851728</v>
      </c>
      <c r="J81" s="7" t="n">
        <f aca="false">$F81/$P$1*$R$1</f>
        <v>130018.7</v>
      </c>
      <c r="K81" s="6" t="n">
        <f aca="false">$H81/$P$1*$R$1</f>
        <v>2700</v>
      </c>
      <c r="L81" s="22" t="n">
        <f aca="false">IF((($E81-$H81)/($R$1-$P$1))&lt;0,0,($E81-$H81)/($R$1-$P$1))</f>
        <v>9.11507407407408</v>
      </c>
      <c r="M81" s="7" t="n">
        <f aca="false">IF((($D81-$F81)/($R$1-$P$1))&lt;0,0,($D81-$F81)/($R$1-$P$1))</f>
        <v>397.247595</v>
      </c>
    </row>
    <row r="82" customFormat="false" ht="18.75" hidden="false" customHeight="true" outlineLevel="0" collapsed="false">
      <c r="A82" s="11" t="s">
        <v>26</v>
      </c>
      <c r="B82" s="16" t="s">
        <v>14</v>
      </c>
      <c r="C82" s="14" t="n">
        <f aca="false">IF(ISNUMBER(INDEX('METAS E PESOS'!$D$3:$N$17,MATCH($A82,'METAS E PESOS'!$A$3:$A$17,0),MATCH($B82,'METAS E PESOS'!$D$2:$N$2,0))),INDEX('METAS E PESOS'!$D$3:$N$17,MATCH($A82,'METAS E PESOS'!$A$3:$A$17,0),MATCH($B82,'METAS E PESOS'!$D$2:$N$2,0)),0)</f>
        <v>0.0529</v>
      </c>
      <c r="D82" s="13" t="n">
        <f aca="false">INDEX('METAS E PESOS'!$C$3:$C$17,MATCH($A82,'METAS E PESOS'!$A$3:$A$17,0))*$C82</f>
        <v>18060.254143</v>
      </c>
      <c r="E82" s="21" t="n">
        <f aca="false">INDEX('METAS E PESOS'!$B$3:$B$17,MATCH($A82,'METAS E PESOS'!$A$3:$A$17,0))*$C82</f>
        <v>392.8354</v>
      </c>
      <c r="F82" s="13" t="n">
        <f aca="false">SUMIFS(BASE_VENDAS!$E$2:$E$125,BASE_VENDAS!$A$2:$A$125,$A82,BASE_VENDAS!$C$2:$C$125,$B82)</f>
        <v>11694.17</v>
      </c>
      <c r="G82" s="14" t="n">
        <f aca="false">IFERROR($F82/$D82,0)</f>
        <v>0.647508606878191</v>
      </c>
      <c r="H82" s="12" t="n">
        <f aca="false">SUMIFS(BASE_VENDAS!$D$2:$D$125,BASE_VENDAS!$A$2:$A$125,$A82,BASE_VENDAS!$C$2:$C$125,$B82)</f>
        <v>296</v>
      </c>
      <c r="I82" s="14" t="n">
        <f aca="false">IFERROR($H82/$E82,0)</f>
        <v>0.753496248046892</v>
      </c>
      <c r="J82" s="13" t="n">
        <f aca="false">$F82/$P$1*$R$1</f>
        <v>116941.7</v>
      </c>
      <c r="K82" s="12" t="n">
        <f aca="false">$H82/$P$1*$R$1</f>
        <v>2960</v>
      </c>
      <c r="L82" s="21" t="n">
        <f aca="false">IF((($E82-$H82)/($R$1-$P$1))&lt;0,0,($E82-$H82)/($R$1-$P$1))</f>
        <v>3.5864962962963</v>
      </c>
      <c r="M82" s="13" t="n">
        <f aca="false">IF((($D82-$F82)/($R$1-$P$1))&lt;0,0,($D82-$F82)/($R$1-$P$1))</f>
        <v>235.780894185185</v>
      </c>
    </row>
    <row r="83" customFormat="false" ht="18.75" hidden="false" customHeight="true" outlineLevel="0" collapsed="false">
      <c r="A83" s="5" t="s">
        <v>26</v>
      </c>
      <c r="B83" s="9" t="s">
        <v>15</v>
      </c>
      <c r="C83" s="8" t="n">
        <f aca="false">IF(ISNUMBER(INDEX('METAS E PESOS'!$D$3:$N$17,MATCH($A83,'METAS E PESOS'!$A$3:$A$17,0),MATCH($B83,'METAS E PESOS'!$D$2:$N$2,0))),INDEX('METAS E PESOS'!$D$3:$N$17,MATCH($A83,'METAS E PESOS'!$A$3:$A$17,0),MATCH($B83,'METAS E PESOS'!$D$2:$N$2,0)),0)</f>
        <v>0.0956</v>
      </c>
      <c r="D83" s="7" t="n">
        <f aca="false">INDEX('METAS E PESOS'!$C$3:$C$17,MATCH($A83,'METAS E PESOS'!$A$3:$A$17,0))*$C83</f>
        <v>32638.190852</v>
      </c>
      <c r="E83" s="22" t="n">
        <f aca="false">INDEX('METAS E PESOS'!$B$3:$B$17,MATCH($A83,'METAS E PESOS'!$A$3:$A$17,0))*$C83</f>
        <v>709.9256</v>
      </c>
      <c r="F83" s="7" t="n">
        <f aca="false">SUMIFS(BASE_VENDAS!$E$2:$E$125,BASE_VENDAS!$A$2:$A$125,$A83,BASE_VENDAS!$C$2:$C$125,$B83)</f>
        <v>18571.96</v>
      </c>
      <c r="G83" s="8" t="n">
        <f aca="false">IFERROR($F83/$D83,0)</f>
        <v>0.569025412107422</v>
      </c>
      <c r="H83" s="6" t="n">
        <f aca="false">SUMIFS(BASE_VENDAS!$D$2:$D$125,BASE_VENDAS!$A$2:$A$125,$A83,BASE_VENDAS!$C$2:$C$125,$B83)</f>
        <v>418</v>
      </c>
      <c r="I83" s="8" t="n">
        <f aca="false">IFERROR($H83/$E83,0)</f>
        <v>0.588794093352881</v>
      </c>
      <c r="J83" s="7" t="n">
        <f aca="false">$F83/$P$1*$R$1</f>
        <v>185719.6</v>
      </c>
      <c r="K83" s="6" t="n">
        <f aca="false">$H83/$P$1*$R$1</f>
        <v>4180</v>
      </c>
      <c r="L83" s="22" t="n">
        <f aca="false">IF((($E83-$H83)/($R$1-$P$1))&lt;0,0,($E83-$H83)/($R$1-$P$1))</f>
        <v>10.8120592592593</v>
      </c>
      <c r="M83" s="7" t="n">
        <f aca="false">IF((($D83-$F83)/($R$1-$P$1))&lt;0,0,($D83-$F83)/($R$1-$P$1))</f>
        <v>520.971513037037</v>
      </c>
    </row>
    <row r="84" customFormat="false" ht="18.75" hidden="false" customHeight="true" outlineLevel="0" collapsed="false">
      <c r="A84" s="11" t="s">
        <v>27</v>
      </c>
      <c r="B84" s="16" t="s">
        <v>5</v>
      </c>
      <c r="C84" s="14" t="n">
        <f aca="false">IF(ISNUMBER(INDEX('METAS E PESOS'!$D$3:$N$17,MATCH($A84,'METAS E PESOS'!$A$3:$A$17,0),MATCH($B84,'METAS E PESOS'!$D$2:$N$2,0))),INDEX('METAS E PESOS'!$D$3:$N$17,MATCH($A84,'METAS E PESOS'!$A$3:$A$17,0),MATCH($B84,'METAS E PESOS'!$D$2:$N$2,0)),0)</f>
        <v>0.094</v>
      </c>
      <c r="D84" s="13" t="n">
        <f aca="false">INDEX('METAS E PESOS'!$C$3:$C$17,MATCH($A84,'METAS E PESOS'!$A$3:$A$17,0))*$C84</f>
        <v>8751.25806</v>
      </c>
      <c r="E84" s="21" t="n">
        <f aca="false">INDEX('METAS E PESOS'!$B$3:$B$17,MATCH($A84,'METAS E PESOS'!$A$3:$A$17,0))*$C84</f>
        <v>410.592</v>
      </c>
      <c r="F84" s="13" t="n">
        <f aca="false">SUMIFS(BASE_VENDAS!$E$2:$E$125,BASE_VENDAS!$A$2:$A$125,$A84,BASE_VENDAS!$C$2:$C$125,$B84)</f>
        <v>5095.62</v>
      </c>
      <c r="G84" s="14" t="n">
        <f aca="false">IFERROR($F84/$D84,0)</f>
        <v>0.582272853235915</v>
      </c>
      <c r="H84" s="12" t="n">
        <f aca="false">SUMIFS(BASE_VENDAS!$D$2:$D$125,BASE_VENDAS!$A$2:$A$125,$A84,BASE_VENDAS!$C$2:$C$125,$B84)</f>
        <v>224</v>
      </c>
      <c r="I84" s="14" t="n">
        <f aca="false">IFERROR($H84/$E84,0)</f>
        <v>0.545553737043099</v>
      </c>
      <c r="J84" s="13" t="n">
        <f aca="false">$F84/$P$1*$R$1</f>
        <v>50956.2</v>
      </c>
      <c r="K84" s="12" t="n">
        <f aca="false">$H84/$P$1*$R$1</f>
        <v>2240</v>
      </c>
      <c r="L84" s="21" t="n">
        <f aca="false">IF((($E84-$H84)/($R$1-$P$1))&lt;0,0,($E84-$H84)/($R$1-$P$1))</f>
        <v>6.91081481481481</v>
      </c>
      <c r="M84" s="13" t="n">
        <f aca="false">IF((($D84-$F84)/($R$1-$P$1))&lt;0,0,($D84-$F84)/($R$1-$P$1))</f>
        <v>135.394002222222</v>
      </c>
    </row>
    <row r="85" customFormat="false" ht="18.75" hidden="false" customHeight="true" outlineLevel="0" collapsed="false">
      <c r="A85" s="5" t="s">
        <v>27</v>
      </c>
      <c r="B85" s="9" t="s">
        <v>6</v>
      </c>
      <c r="C85" s="8" t="n">
        <f aca="false">IF(ISNUMBER(INDEX('METAS E PESOS'!$D$3:$N$17,MATCH($A85,'METAS E PESOS'!$A$3:$A$17,0),MATCH($B85,'METAS E PESOS'!$D$2:$N$2,0))),INDEX('METAS E PESOS'!$D$3:$N$17,MATCH($A85,'METAS E PESOS'!$A$3:$A$17,0),MATCH($B85,'METAS E PESOS'!$D$2:$N$2,0)),0)</f>
        <v>0.0679</v>
      </c>
      <c r="D85" s="7" t="n">
        <f aca="false">INDEX('METAS E PESOS'!$C$3:$C$17,MATCH($A85,'METAS E PESOS'!$A$3:$A$17,0))*$C85</f>
        <v>6321.387471</v>
      </c>
      <c r="E85" s="22" t="n">
        <f aca="false">INDEX('METAS E PESOS'!$B$3:$B$17,MATCH($A85,'METAS E PESOS'!$A$3:$A$17,0))*$C85</f>
        <v>296.5872</v>
      </c>
      <c r="F85" s="7" t="n">
        <f aca="false">SUMIFS(BASE_VENDAS!$E$2:$E$125,BASE_VENDAS!$A$2:$A$125,$A85,BASE_VENDAS!$C$2:$C$125,$B85)</f>
        <v>4120.13</v>
      </c>
      <c r="G85" s="8" t="n">
        <f aca="false">IFERROR($F85/$D85,0)</f>
        <v>0.651776215095422</v>
      </c>
      <c r="H85" s="6" t="n">
        <f aca="false">SUMIFS(BASE_VENDAS!$D$2:$D$125,BASE_VENDAS!$A$2:$A$125,$A85,BASE_VENDAS!$C$2:$C$125,$B85)</f>
        <v>204</v>
      </c>
      <c r="I85" s="8" t="n">
        <f aca="false">IFERROR($H85/$E85,0)</f>
        <v>0.68782469371571</v>
      </c>
      <c r="J85" s="7" t="n">
        <f aca="false">$F85/$P$1*$R$1</f>
        <v>41201.3</v>
      </c>
      <c r="K85" s="6" t="n">
        <f aca="false">$H85/$P$1*$R$1</f>
        <v>2040</v>
      </c>
      <c r="L85" s="22" t="n">
        <f aca="false">IF((($E85-$H85)/($R$1-$P$1))&lt;0,0,($E85-$H85)/($R$1-$P$1))</f>
        <v>3.42915555555556</v>
      </c>
      <c r="M85" s="7" t="n">
        <f aca="false">IF((($D85-$F85)/($R$1-$P$1))&lt;0,0,($D85-$F85)/($R$1-$P$1))</f>
        <v>81.5280544814815</v>
      </c>
    </row>
    <row r="86" customFormat="false" ht="18.75" hidden="false" customHeight="true" outlineLevel="0" collapsed="false">
      <c r="A86" s="11" t="s">
        <v>27</v>
      </c>
      <c r="B86" s="16" t="s">
        <v>7</v>
      </c>
      <c r="C86" s="14" t="n">
        <f aca="false">IF(ISNUMBER(INDEX('METAS E PESOS'!$D$3:$N$17,MATCH($A86,'METAS E PESOS'!$A$3:$A$17,0),MATCH($B86,'METAS E PESOS'!$D$2:$N$2,0))),INDEX('METAS E PESOS'!$D$3:$N$17,MATCH($A86,'METAS E PESOS'!$A$3:$A$17,0),MATCH($B86,'METAS E PESOS'!$D$2:$N$2,0)),0)</f>
        <v>0.125</v>
      </c>
      <c r="D86" s="13" t="n">
        <f aca="false">INDEX('METAS E PESOS'!$C$3:$C$17,MATCH($A86,'METAS E PESOS'!$A$3:$A$17,0))*$C86</f>
        <v>11637.31125</v>
      </c>
      <c r="E86" s="21" t="n">
        <f aca="false">INDEX('METAS E PESOS'!$B$3:$B$17,MATCH($A86,'METAS E PESOS'!$A$3:$A$17,0))*$C86</f>
        <v>546</v>
      </c>
      <c r="F86" s="13" t="n">
        <f aca="false">SUMIFS(BASE_VENDAS!$E$2:$E$125,BASE_VENDAS!$A$2:$A$125,$A86,BASE_VENDAS!$C$2:$C$125,$B86)</f>
        <v>8107.05</v>
      </c>
      <c r="G86" s="14" t="n">
        <f aca="false">IFERROR($F86/$D86,0)</f>
        <v>0.696642877881263</v>
      </c>
      <c r="H86" s="12" t="n">
        <f aca="false">SUMIFS(BASE_VENDAS!$D$2:$D$125,BASE_VENDAS!$A$2:$A$125,$A86,BASE_VENDAS!$C$2:$C$125,$B86)</f>
        <v>324</v>
      </c>
      <c r="I86" s="14" t="n">
        <f aca="false">IFERROR($H86/$E86,0)</f>
        <v>0.593406593406593</v>
      </c>
      <c r="J86" s="13" t="n">
        <f aca="false">$F86/$P$1*$R$1</f>
        <v>81070.5</v>
      </c>
      <c r="K86" s="12" t="n">
        <f aca="false">$H86/$P$1*$R$1</f>
        <v>3240</v>
      </c>
      <c r="L86" s="21" t="n">
        <f aca="false">IF((($E86-$H86)/($R$1-$P$1))&lt;0,0,($E86-$H86)/($R$1-$P$1))</f>
        <v>8.22222222222222</v>
      </c>
      <c r="M86" s="13" t="n">
        <f aca="false">IF((($D86-$F86)/($R$1-$P$1))&lt;0,0,($D86-$F86)/($R$1-$P$1))</f>
        <v>130.750416666667</v>
      </c>
    </row>
    <row r="87" customFormat="false" ht="18.75" hidden="false" customHeight="true" outlineLevel="0" collapsed="false">
      <c r="A87" s="5" t="s">
        <v>27</v>
      </c>
      <c r="B87" s="9" t="s">
        <v>9</v>
      </c>
      <c r="C87" s="8" t="n">
        <f aca="false">IF(ISNUMBER(INDEX('METAS E PESOS'!$D$3:$N$17,MATCH($A87,'METAS E PESOS'!$A$3:$A$17,0),MATCH($B87,'METAS E PESOS'!$D$2:$N$2,0))),INDEX('METAS E PESOS'!$D$3:$N$17,MATCH($A87,'METAS E PESOS'!$A$3:$A$17,0),MATCH($B87,'METAS E PESOS'!$D$2:$N$2,0)),0)</f>
        <v>0.156</v>
      </c>
      <c r="D87" s="7" t="n">
        <f aca="false">INDEX('METAS E PESOS'!$C$3:$C$17,MATCH($A87,'METAS E PESOS'!$A$3:$A$17,0))*$C87</f>
        <v>14523.36444</v>
      </c>
      <c r="E87" s="22" t="n">
        <f aca="false">INDEX('METAS E PESOS'!$B$3:$B$17,MATCH($A87,'METAS E PESOS'!$A$3:$A$17,0))*$C87</f>
        <v>681.408</v>
      </c>
      <c r="F87" s="7" t="n">
        <f aca="false">SUMIFS(BASE_VENDAS!$E$2:$E$125,BASE_VENDAS!$A$2:$A$125,$A87,BASE_VENDAS!$C$2:$C$125,$B87)</f>
        <v>5885.77</v>
      </c>
      <c r="G87" s="8" t="n">
        <f aca="false">IFERROR($F87/$D87,0)</f>
        <v>0.405262157010225</v>
      </c>
      <c r="H87" s="6" t="n">
        <f aca="false">SUMIFS(BASE_VENDAS!$D$2:$D$125,BASE_VENDAS!$A$2:$A$125,$A87,BASE_VENDAS!$C$2:$C$125,$B87)</f>
        <v>276</v>
      </c>
      <c r="I87" s="8" t="n">
        <f aca="false">IFERROR($H87/$E87,0)</f>
        <v>0.405043674274444</v>
      </c>
      <c r="J87" s="7" t="n">
        <f aca="false">$F87/$P$1*$R$1</f>
        <v>58857.7</v>
      </c>
      <c r="K87" s="6" t="n">
        <f aca="false">$H87/$P$1*$R$1</f>
        <v>2760</v>
      </c>
      <c r="L87" s="22" t="n">
        <f aca="false">IF((($E87-$H87)/($R$1-$P$1))&lt;0,0,($E87-$H87)/($R$1-$P$1))</f>
        <v>15.0151111111111</v>
      </c>
      <c r="M87" s="7" t="n">
        <f aca="false">IF((($D87-$F87)/($R$1-$P$1))&lt;0,0,($D87-$F87)/($R$1-$P$1))</f>
        <v>319.910905185185</v>
      </c>
    </row>
    <row r="88" customFormat="false" ht="18.75" hidden="false" customHeight="true" outlineLevel="0" collapsed="false">
      <c r="A88" s="11" t="s">
        <v>27</v>
      </c>
      <c r="B88" s="16" t="s">
        <v>10</v>
      </c>
      <c r="C88" s="14" t="n">
        <f aca="false">IF(ISNUMBER(INDEX('METAS E PESOS'!$D$3:$N$17,MATCH($A88,'METAS E PESOS'!$A$3:$A$17,0),MATCH($B88,'METAS E PESOS'!$D$2:$N$2,0))),INDEX('METAS E PESOS'!$D$3:$N$17,MATCH($A88,'METAS E PESOS'!$A$3:$A$17,0),MATCH($B88,'METAS E PESOS'!$D$2:$N$2,0)),0)</f>
        <v>0.086</v>
      </c>
      <c r="D88" s="13" t="n">
        <f aca="false">INDEX('METAS E PESOS'!$C$3:$C$17,MATCH($A88,'METAS E PESOS'!$A$3:$A$17,0))*$C88</f>
        <v>8006.47014</v>
      </c>
      <c r="E88" s="21" t="n">
        <f aca="false">INDEX('METAS E PESOS'!$B$3:$B$17,MATCH($A88,'METAS E PESOS'!$A$3:$A$17,0))*$C88</f>
        <v>375.648</v>
      </c>
      <c r="F88" s="13" t="n">
        <f aca="false">SUMIFS(BASE_VENDAS!$E$2:$E$125,BASE_VENDAS!$A$2:$A$125,$A88,BASE_VENDAS!$C$2:$C$125,$B88)</f>
        <v>4700.81</v>
      </c>
      <c r="G88" s="14" t="n">
        <f aca="false">IFERROR($F88/$D88,0)</f>
        <v>0.587126401248279</v>
      </c>
      <c r="H88" s="12" t="n">
        <f aca="false">SUMIFS(BASE_VENDAS!$D$2:$D$125,BASE_VENDAS!$A$2:$A$125,$A88,BASE_VENDAS!$C$2:$C$125,$B88)</f>
        <v>246</v>
      </c>
      <c r="I88" s="14" t="n">
        <f aca="false">IFERROR($H88/$E88,0)</f>
        <v>0.654868387426527</v>
      </c>
      <c r="J88" s="13" t="n">
        <f aca="false">$F88/$P$1*$R$1</f>
        <v>47008.1</v>
      </c>
      <c r="K88" s="12" t="n">
        <f aca="false">$H88/$P$1*$R$1</f>
        <v>2460</v>
      </c>
      <c r="L88" s="21" t="n">
        <f aca="false">IF((($E88-$H88)/($R$1-$P$1))&lt;0,0,($E88-$H88)/($R$1-$P$1))</f>
        <v>4.80177777777778</v>
      </c>
      <c r="M88" s="13" t="n">
        <f aca="false">IF((($D88-$F88)/($R$1-$P$1))&lt;0,0,($D88-$F88)/($R$1-$P$1))</f>
        <v>122.431857037037</v>
      </c>
    </row>
    <row r="89" customFormat="false" ht="18.75" hidden="false" customHeight="true" outlineLevel="0" collapsed="false">
      <c r="A89" s="5" t="s">
        <v>27</v>
      </c>
      <c r="B89" s="9" t="s">
        <v>11</v>
      </c>
      <c r="C89" s="8" t="n">
        <f aca="false">IF(ISNUMBER(INDEX('METAS E PESOS'!$D$3:$N$17,MATCH($A89,'METAS E PESOS'!$A$3:$A$17,0),MATCH($B89,'METAS E PESOS'!$D$2:$N$2,0))),INDEX('METAS E PESOS'!$D$3:$N$17,MATCH($A89,'METAS E PESOS'!$A$3:$A$17,0),MATCH($B89,'METAS E PESOS'!$D$2:$N$2,0)),0)</f>
        <v>0.078</v>
      </c>
      <c r="D89" s="7" t="n">
        <f aca="false">INDEX('METAS E PESOS'!$C$3:$C$17,MATCH($A89,'METAS E PESOS'!$A$3:$A$17,0))*$C89</f>
        <v>7261.68222</v>
      </c>
      <c r="E89" s="22" t="n">
        <f aca="false">INDEX('METAS E PESOS'!$B$3:$B$17,MATCH($A89,'METAS E PESOS'!$A$3:$A$17,0))*$C89</f>
        <v>340.704</v>
      </c>
      <c r="F89" s="7" t="n">
        <f aca="false">SUMIFS(BASE_VENDAS!$E$2:$E$125,BASE_VENDAS!$A$2:$A$125,$A89,BASE_VENDAS!$C$2:$C$125,$B89)</f>
        <v>1735.32</v>
      </c>
      <c r="G89" s="8" t="n">
        <f aca="false">IFERROR($F89/$D89,0)</f>
        <v>0.238969421606004</v>
      </c>
      <c r="H89" s="6" t="n">
        <f aca="false">SUMIFS(BASE_VENDAS!$D$2:$D$125,BASE_VENDAS!$A$2:$A$125,$A89,BASE_VENDAS!$C$2:$C$125,$B89)</f>
        <v>92</v>
      </c>
      <c r="I89" s="8" t="n">
        <f aca="false">IFERROR($H89/$E89,0)</f>
        <v>0.270029116182962</v>
      </c>
      <c r="J89" s="7" t="n">
        <f aca="false">$F89/$P$1*$R$1</f>
        <v>17353.2</v>
      </c>
      <c r="K89" s="6" t="n">
        <f aca="false">$H89/$P$1*$R$1</f>
        <v>920</v>
      </c>
      <c r="L89" s="22" t="n">
        <f aca="false">IF((($E89-$H89)/($R$1-$P$1))&lt;0,0,($E89-$H89)/($R$1-$P$1))</f>
        <v>9.21125925925926</v>
      </c>
      <c r="M89" s="7" t="n">
        <f aca="false">IF((($D89-$F89)/($R$1-$P$1))&lt;0,0,($D89-$F89)/($R$1-$P$1))</f>
        <v>204.680082222222</v>
      </c>
    </row>
    <row r="90" customFormat="false" ht="18.75" hidden="false" customHeight="true" outlineLevel="0" collapsed="false">
      <c r="A90" s="11" t="s">
        <v>27</v>
      </c>
      <c r="B90" s="16" t="s">
        <v>12</v>
      </c>
      <c r="C90" s="14" t="n">
        <f aca="false">IF(ISNUMBER(INDEX('METAS E PESOS'!$D$3:$N$17,MATCH($A90,'METAS E PESOS'!$A$3:$A$17,0),MATCH($B90,'METAS E PESOS'!$D$2:$N$2,0))),INDEX('METAS E PESOS'!$D$3:$N$17,MATCH($A90,'METAS E PESOS'!$A$3:$A$17,0),MATCH($B90,'METAS E PESOS'!$D$2:$N$2,0)),0)</f>
        <v>0.1675</v>
      </c>
      <c r="D90" s="13" t="n">
        <f aca="false">INDEX('METAS E PESOS'!$C$3:$C$17,MATCH($A90,'METAS E PESOS'!$A$3:$A$17,0))*$C90</f>
        <v>15593.997075</v>
      </c>
      <c r="E90" s="21" t="n">
        <f aca="false">INDEX('METAS E PESOS'!$B$3:$B$17,MATCH($A90,'METAS E PESOS'!$A$3:$A$17,0))*$C90</f>
        <v>731.64</v>
      </c>
      <c r="F90" s="13" t="n">
        <f aca="false">SUMIFS(BASE_VENDAS!$E$2:$E$125,BASE_VENDAS!$A$2:$A$125,$A90,BASE_VENDAS!$C$2:$C$125,$B90)</f>
        <v>11394.21</v>
      </c>
      <c r="G90" s="14" t="n">
        <f aca="false">IFERROR($F90/$D90,0)</f>
        <v>0.730679244404052</v>
      </c>
      <c r="H90" s="12" t="n">
        <f aca="false">SUMIFS(BASE_VENDAS!$D$2:$D$125,BASE_VENDAS!$A$2:$A$125,$A90,BASE_VENDAS!$C$2:$C$125,$B90)</f>
        <v>534</v>
      </c>
      <c r="I90" s="14" t="n">
        <f aca="false">IFERROR($H90/$E90,0)</f>
        <v>0.729867147777595</v>
      </c>
      <c r="J90" s="13" t="n">
        <f aca="false">$F90/$P$1*$R$1</f>
        <v>113942.1</v>
      </c>
      <c r="K90" s="12" t="n">
        <f aca="false">$H90/$P$1*$R$1</f>
        <v>5340</v>
      </c>
      <c r="L90" s="21" t="n">
        <f aca="false">IF((($E90-$H90)/($R$1-$P$1))&lt;0,0,($E90-$H90)/($R$1-$P$1))</f>
        <v>7.32</v>
      </c>
      <c r="M90" s="13" t="n">
        <f aca="false">IF((($D90-$F90)/($R$1-$P$1))&lt;0,0,($D90-$F90)/($R$1-$P$1))</f>
        <v>155.547669444445</v>
      </c>
    </row>
    <row r="91" customFormat="false" ht="18.75" hidden="false" customHeight="true" outlineLevel="0" collapsed="false">
      <c r="A91" s="5" t="s">
        <v>27</v>
      </c>
      <c r="B91" s="9" t="s">
        <v>13</v>
      </c>
      <c r="C91" s="8" t="n">
        <f aca="false">IF(ISNUMBER(INDEX('METAS E PESOS'!$D$3:$N$17,MATCH($A91,'METAS E PESOS'!$A$3:$A$17,0),MATCH($B91,'METAS E PESOS'!$D$2:$N$2,0))),INDEX('METAS E PESOS'!$D$3:$N$17,MATCH($A91,'METAS E PESOS'!$A$3:$A$17,0),MATCH($B91,'METAS E PESOS'!$D$2:$N$2,0)),0)</f>
        <v>0.085</v>
      </c>
      <c r="D91" s="7" t="n">
        <f aca="false">INDEX('METAS E PESOS'!$C$3:$C$17,MATCH($A91,'METAS E PESOS'!$A$3:$A$17,0))*$C91</f>
        <v>7913.37165</v>
      </c>
      <c r="E91" s="22" t="n">
        <f aca="false">INDEX('METAS E PESOS'!$B$3:$B$17,MATCH($A91,'METAS E PESOS'!$A$3:$A$17,0))*$C91</f>
        <v>371.28</v>
      </c>
      <c r="F91" s="7" t="n">
        <f aca="false">SUMIFS(BASE_VENDAS!$E$2:$E$125,BASE_VENDAS!$A$2:$A$125,$A91,BASE_VENDAS!$C$2:$C$125,$B91)</f>
        <v>2244.79</v>
      </c>
      <c r="G91" s="8" t="n">
        <f aca="false">IFERROR($F91/$D91,0)</f>
        <v>0.283670488293065</v>
      </c>
      <c r="H91" s="6" t="n">
        <f aca="false">SUMIFS(BASE_VENDAS!$D$2:$D$125,BASE_VENDAS!$A$2:$A$125,$A91,BASE_VENDAS!$C$2:$C$125,$B91)</f>
        <v>122</v>
      </c>
      <c r="I91" s="8" t="n">
        <f aca="false">IFERROR($H91/$E91,0)</f>
        <v>0.328592975651799</v>
      </c>
      <c r="J91" s="7" t="n">
        <f aca="false">$F91/$P$1*$R$1</f>
        <v>22447.9</v>
      </c>
      <c r="K91" s="6" t="n">
        <f aca="false">$H91/$P$1*$R$1</f>
        <v>1220</v>
      </c>
      <c r="L91" s="22" t="n">
        <f aca="false">IF((($E91-$H91)/($R$1-$P$1))&lt;0,0,($E91-$H91)/($R$1-$P$1))</f>
        <v>9.23259259259259</v>
      </c>
      <c r="M91" s="7" t="n">
        <f aca="false">IF((($D91-$F91)/($R$1-$P$1))&lt;0,0,($D91-$F91)/($R$1-$P$1))</f>
        <v>209.947468518519</v>
      </c>
    </row>
    <row r="92" customFormat="false" ht="18.75" hidden="false" customHeight="true" outlineLevel="0" collapsed="false">
      <c r="A92" s="11" t="s">
        <v>27</v>
      </c>
      <c r="B92" s="16" t="s">
        <v>14</v>
      </c>
      <c r="C92" s="14" t="n">
        <f aca="false">IF(ISNUMBER(INDEX('METAS E PESOS'!$D$3:$N$17,MATCH($A92,'METAS E PESOS'!$A$3:$A$17,0),MATCH($B92,'METAS E PESOS'!$D$2:$N$2,0))),INDEX('METAS E PESOS'!$D$3:$N$17,MATCH($A92,'METAS E PESOS'!$A$3:$A$17,0),MATCH($B92,'METAS E PESOS'!$D$2:$N$2,0)),0)</f>
        <v>0.085</v>
      </c>
      <c r="D92" s="13" t="n">
        <f aca="false">INDEX('METAS E PESOS'!$C$3:$C$17,MATCH($A92,'METAS E PESOS'!$A$3:$A$17,0))*$C92</f>
        <v>7913.37165</v>
      </c>
      <c r="E92" s="21" t="n">
        <f aca="false">INDEX('METAS E PESOS'!$B$3:$B$17,MATCH($A92,'METAS E PESOS'!$A$3:$A$17,0))*$C92</f>
        <v>371.28</v>
      </c>
      <c r="F92" s="13" t="n">
        <f aca="false">SUMIFS(BASE_VENDAS!$E$2:$E$125,BASE_VENDAS!$A$2:$A$125,$A92,BASE_VENDAS!$C$2:$C$125,$B92)</f>
        <v>3449.87</v>
      </c>
      <c r="G92" s="14" t="n">
        <f aca="false">IFERROR($F92/$D92,0)</f>
        <v>0.435954502402272</v>
      </c>
      <c r="H92" s="12" t="n">
        <f aca="false">SUMIFS(BASE_VENDAS!$D$2:$D$125,BASE_VENDAS!$A$2:$A$125,$A92,BASE_VENDAS!$C$2:$C$125,$B92)</f>
        <v>180</v>
      </c>
      <c r="I92" s="14" t="n">
        <f aca="false">IFERROR($H92/$E92,0)</f>
        <v>0.48480930833872</v>
      </c>
      <c r="J92" s="13" t="n">
        <f aca="false">$F92/$P$1*$R$1</f>
        <v>34498.7</v>
      </c>
      <c r="K92" s="12" t="n">
        <f aca="false">$H92/$P$1*$R$1</f>
        <v>1800</v>
      </c>
      <c r="L92" s="21" t="n">
        <f aca="false">IF((($E92-$H92)/($R$1-$P$1))&lt;0,0,($E92-$H92)/($R$1-$P$1))</f>
        <v>7.08444444444445</v>
      </c>
      <c r="M92" s="13" t="n">
        <f aca="false">IF((($D92-$F92)/($R$1-$P$1))&lt;0,0,($D92-$F92)/($R$1-$P$1))</f>
        <v>165.314875925926</v>
      </c>
    </row>
    <row r="93" customFormat="false" ht="18.75" hidden="false" customHeight="true" outlineLevel="0" collapsed="false">
      <c r="A93" s="5" t="s">
        <v>27</v>
      </c>
      <c r="B93" s="9" t="s">
        <v>15</v>
      </c>
      <c r="C93" s="8" t="n">
        <f aca="false">IF(ISNUMBER(INDEX('METAS E PESOS'!$D$3:$N$17,MATCH($A93,'METAS E PESOS'!$A$3:$A$17,0),MATCH($B93,'METAS E PESOS'!$D$2:$N$2,0))),INDEX('METAS E PESOS'!$D$3:$N$17,MATCH($A93,'METAS E PESOS'!$A$3:$A$17,0),MATCH($B93,'METAS E PESOS'!$D$2:$N$2,0)),0)</f>
        <v>0.0556</v>
      </c>
      <c r="D93" s="7" t="n">
        <f aca="false">INDEX('METAS E PESOS'!$C$3:$C$17,MATCH($A93,'METAS E PESOS'!$A$3:$A$17,0))*$C93</f>
        <v>5176.276044</v>
      </c>
      <c r="E93" s="22" t="n">
        <f aca="false">INDEX('METAS E PESOS'!$B$3:$B$17,MATCH($A93,'METAS E PESOS'!$A$3:$A$17,0))*$C93</f>
        <v>242.8608</v>
      </c>
      <c r="F93" s="7" t="n">
        <f aca="false">SUMIFS(BASE_VENDAS!$E$2:$E$125,BASE_VENDAS!$A$2:$A$125,$A93,BASE_VENDAS!$C$2:$C$125,$B93)</f>
        <v>3619.88</v>
      </c>
      <c r="G93" s="8" t="n">
        <f aca="false">IFERROR($F93/$D93,0)</f>
        <v>0.699321282178513</v>
      </c>
      <c r="H93" s="6" t="n">
        <f aca="false">SUMIFS(BASE_VENDAS!$D$2:$D$125,BASE_VENDAS!$A$2:$A$125,$A93,BASE_VENDAS!$C$2:$C$125,$B93)</f>
        <v>194</v>
      </c>
      <c r="I93" s="8" t="n">
        <f aca="false">IFERROR($H93/$E93,0)</f>
        <v>0.798811500250349</v>
      </c>
      <c r="J93" s="7" t="n">
        <f aca="false">$F93/$P$1*$R$1</f>
        <v>36198.8</v>
      </c>
      <c r="K93" s="6" t="n">
        <f aca="false">$H93/$P$1*$R$1</f>
        <v>1940</v>
      </c>
      <c r="L93" s="22" t="n">
        <f aca="false">IF((($E93-$H93)/($R$1-$P$1))&lt;0,0,($E93-$H93)/($R$1-$P$1))</f>
        <v>1.80965925925926</v>
      </c>
      <c r="M93" s="7" t="n">
        <f aca="false">IF((($D93-$F93)/($R$1-$P$1))&lt;0,0,($D93-$F93)/($R$1-$P$1))</f>
        <v>57.6442979259259</v>
      </c>
    </row>
    <row r="94" customFormat="false" ht="18.75" hidden="false" customHeight="true" outlineLevel="0" collapsed="false">
      <c r="A94" s="11" t="s">
        <v>28</v>
      </c>
      <c r="B94" s="16" t="s">
        <v>7</v>
      </c>
      <c r="C94" s="14" t="n">
        <f aca="false">IF(ISNUMBER(INDEX('METAS E PESOS'!$D$3:$N$17,MATCH($A94,'METAS E PESOS'!$A$3:$A$17,0),MATCH($B94,'METAS E PESOS'!$D$2:$N$2,0))),INDEX('METAS E PESOS'!$D$3:$N$17,MATCH($A94,'METAS E PESOS'!$A$3:$A$17,0),MATCH($B94,'METAS E PESOS'!$D$2:$N$2,0)),0)</f>
        <v>0.2472</v>
      </c>
      <c r="D94" s="13" t="n">
        <f aca="false">INDEX('METAS E PESOS'!$C$3:$C$17,MATCH($A94,'METAS E PESOS'!$A$3:$A$17,0))*$C94</f>
        <v>13697.618976</v>
      </c>
      <c r="E94" s="21" t="n">
        <f aca="false">INDEX('METAS E PESOS'!$B$3:$B$17,MATCH($A94,'METAS E PESOS'!$A$3:$A$17,0))*$C94</f>
        <v>537.4128</v>
      </c>
      <c r="F94" s="13" t="n">
        <f aca="false">SUMIFS(BASE_VENDAS!$E$2:$E$125,BASE_VENDAS!$A$2:$A$125,$A94,BASE_VENDAS!$C$2:$C$125,$B94)</f>
        <v>7515.78</v>
      </c>
      <c r="G94" s="14" t="n">
        <f aca="false">IFERROR($F94/$D94,0)</f>
        <v>0.548692441596501</v>
      </c>
      <c r="H94" s="12" t="n">
        <f aca="false">SUMIFS(BASE_VENDAS!$D$2:$D$125,BASE_VENDAS!$A$2:$A$125,$A94,BASE_VENDAS!$C$2:$C$125,$B94)</f>
        <v>282</v>
      </c>
      <c r="I94" s="14" t="n">
        <f aca="false">IFERROR($H94/$E94,0)</f>
        <v>0.524736292101714</v>
      </c>
      <c r="J94" s="13" t="n">
        <f aca="false">$F94/$P$1*$R$1</f>
        <v>75157.8</v>
      </c>
      <c r="K94" s="12" t="n">
        <f aca="false">$H94/$P$1*$R$1</f>
        <v>2820</v>
      </c>
      <c r="L94" s="21" t="n">
        <f aca="false">IF((($E94-$H94)/($R$1-$P$1))&lt;0,0,($E94-$H94)/($R$1-$P$1))</f>
        <v>9.45973333333334</v>
      </c>
      <c r="M94" s="13" t="n">
        <f aca="false">IF((($D94-$F94)/($R$1-$P$1))&lt;0,0,($D94-$F94)/($R$1-$P$1))</f>
        <v>228.956999111111</v>
      </c>
    </row>
    <row r="95" customFormat="false" ht="18.75" hidden="false" customHeight="true" outlineLevel="0" collapsed="false">
      <c r="A95" s="5" t="s">
        <v>28</v>
      </c>
      <c r="B95" s="9" t="s">
        <v>6</v>
      </c>
      <c r="C95" s="8" t="n">
        <f aca="false">IF(ISNUMBER(INDEX('METAS E PESOS'!$D$3:$N$17,MATCH($A95,'METAS E PESOS'!$A$3:$A$17,0),MATCH($B95,'METAS E PESOS'!$D$2:$N$2,0))),INDEX('METAS E PESOS'!$D$3:$N$17,MATCH($A95,'METAS E PESOS'!$A$3:$A$17,0),MATCH($B95,'METAS E PESOS'!$D$2:$N$2,0)),0)</f>
        <v>0.0713</v>
      </c>
      <c r="D95" s="7" t="n">
        <f aca="false">INDEX('METAS E PESOS'!$C$3:$C$17,MATCH($A95,'METAS E PESOS'!$A$3:$A$17,0))*$C95</f>
        <v>3950.810004</v>
      </c>
      <c r="E95" s="22" t="n">
        <f aca="false">INDEX('METAS E PESOS'!$B$3:$B$17,MATCH($A95,'METAS E PESOS'!$A$3:$A$17,0))*$C95</f>
        <v>155.0062</v>
      </c>
      <c r="F95" s="7" t="n">
        <f aca="false">SUMIFS(BASE_VENDAS!$E$2:$E$125,BASE_VENDAS!$A$2:$A$125,$A95,BASE_VENDAS!$C$2:$C$125,$B95)</f>
        <v>2520.73</v>
      </c>
      <c r="G95" s="8" t="n">
        <f aca="false">IFERROR($F95/$D95,0)</f>
        <v>0.638028656768583</v>
      </c>
      <c r="H95" s="6" t="n">
        <f aca="false">SUMIFS(BASE_VENDAS!$D$2:$D$125,BASE_VENDAS!$A$2:$A$125,$A95,BASE_VENDAS!$C$2:$C$125,$B95)</f>
        <v>108</v>
      </c>
      <c r="I95" s="8" t="n">
        <f aca="false">IFERROR($H95/$E95,0)</f>
        <v>0.696746323695439</v>
      </c>
      <c r="J95" s="7" t="n">
        <f aca="false">$F95/$P$1*$R$1</f>
        <v>25207.3</v>
      </c>
      <c r="K95" s="6" t="n">
        <f aca="false">$H95/$P$1*$R$1</f>
        <v>1080</v>
      </c>
      <c r="L95" s="22" t="n">
        <f aca="false">IF((($E95-$H95)/($R$1-$P$1))&lt;0,0,($E95-$H95)/($R$1-$P$1))</f>
        <v>1.74097037037037</v>
      </c>
      <c r="M95" s="7" t="n">
        <f aca="false">IF((($D95-$F95)/($R$1-$P$1))&lt;0,0,($D95-$F95)/($R$1-$P$1))</f>
        <v>52.9659260740741</v>
      </c>
    </row>
    <row r="96" customFormat="false" ht="18.75" hidden="false" customHeight="true" outlineLevel="0" collapsed="false">
      <c r="A96" s="11" t="s">
        <v>28</v>
      </c>
      <c r="B96" s="16" t="s">
        <v>9</v>
      </c>
      <c r="C96" s="14" t="n">
        <f aca="false">IF(ISNUMBER(INDEX('METAS E PESOS'!$D$3:$N$17,MATCH($A96,'METAS E PESOS'!$A$3:$A$17,0),MATCH($B96,'METAS E PESOS'!$D$2:$N$2,0))),INDEX('METAS E PESOS'!$D$3:$N$17,MATCH($A96,'METAS E PESOS'!$A$3:$A$17,0),MATCH($B96,'METAS E PESOS'!$D$2:$N$2,0)),0)</f>
        <v>0.154</v>
      </c>
      <c r="D96" s="13" t="n">
        <f aca="false">INDEX('METAS E PESOS'!$C$3:$C$17,MATCH($A96,'METAS E PESOS'!$A$3:$A$17,0))*$C96</f>
        <v>8533.30632</v>
      </c>
      <c r="E96" s="21" t="n">
        <f aca="false">INDEX('METAS E PESOS'!$B$3:$B$17,MATCH($A96,'METAS E PESOS'!$A$3:$A$17,0))*$C96</f>
        <v>334.796</v>
      </c>
      <c r="F96" s="13" t="n">
        <f aca="false">SUMIFS(BASE_VENDAS!$E$2:$E$125,BASE_VENDAS!$A$2:$A$125,$A96,BASE_VENDAS!$C$2:$C$125,$B96)</f>
        <v>3645.32</v>
      </c>
      <c r="G96" s="14" t="n">
        <f aca="false">IFERROR($F96/$D96,0)</f>
        <v>0.427187289814764</v>
      </c>
      <c r="H96" s="12" t="n">
        <f aca="false">SUMIFS(BASE_VENDAS!$D$2:$D$125,BASE_VENDAS!$A$2:$A$125,$A96,BASE_VENDAS!$C$2:$C$125,$B96)</f>
        <v>136</v>
      </c>
      <c r="I96" s="14" t="n">
        <f aca="false">IFERROR($H96/$E96,0)</f>
        <v>0.406217517533065</v>
      </c>
      <c r="J96" s="13" t="n">
        <f aca="false">$F96/$P$1*$R$1</f>
        <v>36453.2</v>
      </c>
      <c r="K96" s="12" t="n">
        <f aca="false">$H96/$P$1*$R$1</f>
        <v>1360</v>
      </c>
      <c r="L96" s="21" t="n">
        <f aca="false">IF((($E96-$H96)/($R$1-$P$1))&lt;0,0,($E96-$H96)/($R$1-$P$1))</f>
        <v>7.36281481481482</v>
      </c>
      <c r="M96" s="13" t="n">
        <f aca="false">IF((($D96-$F96)/($R$1-$P$1))&lt;0,0,($D96-$F96)/($R$1-$P$1))</f>
        <v>181.03653037037</v>
      </c>
    </row>
    <row r="97" customFormat="false" ht="18.75" hidden="false" customHeight="true" outlineLevel="0" collapsed="false">
      <c r="A97" s="5" t="s">
        <v>28</v>
      </c>
      <c r="B97" s="9" t="s">
        <v>10</v>
      </c>
      <c r="C97" s="8" t="n">
        <f aca="false">IF(ISNUMBER(INDEX('METAS E PESOS'!$D$3:$N$17,MATCH($A97,'METAS E PESOS'!$A$3:$A$17,0),MATCH($B97,'METAS E PESOS'!$D$2:$N$2,0))),INDEX('METAS E PESOS'!$D$3:$N$17,MATCH($A97,'METAS E PESOS'!$A$3:$A$17,0),MATCH($B97,'METAS E PESOS'!$D$2:$N$2,0)),0)</f>
        <v>0.0605</v>
      </c>
      <c r="D97" s="7" t="n">
        <f aca="false">INDEX('METAS E PESOS'!$C$3:$C$17,MATCH($A97,'METAS E PESOS'!$A$3:$A$17,0))*$C97</f>
        <v>3352.37034</v>
      </c>
      <c r="E97" s="22" t="n">
        <f aca="false">INDEX('METAS E PESOS'!$B$3:$B$17,MATCH($A97,'METAS E PESOS'!$A$3:$A$17,0))*$C97</f>
        <v>131.527</v>
      </c>
      <c r="F97" s="7" t="n">
        <f aca="false">SUMIFS(BASE_VENDAS!$E$2:$E$125,BASE_VENDAS!$A$2:$A$125,$A97,BASE_VENDAS!$C$2:$C$125,$B97)</f>
        <v>744.47</v>
      </c>
      <c r="G97" s="8" t="n">
        <f aca="false">IFERROR($F97/$D97,0)</f>
        <v>0.222072720044409</v>
      </c>
      <c r="H97" s="6" t="n">
        <f aca="false">SUMIFS(BASE_VENDAS!$D$2:$D$125,BASE_VENDAS!$A$2:$A$125,$A97,BASE_VENDAS!$C$2:$C$125,$B97)</f>
        <v>30</v>
      </c>
      <c r="I97" s="8" t="n">
        <f aca="false">IFERROR($H97/$E97,0)</f>
        <v>0.228090049951721</v>
      </c>
      <c r="J97" s="7" t="n">
        <f aca="false">$F97/$P$1*$R$1</f>
        <v>7444.7</v>
      </c>
      <c r="K97" s="6" t="n">
        <f aca="false">$H97/$P$1*$R$1</f>
        <v>300</v>
      </c>
      <c r="L97" s="22" t="n">
        <f aca="false">IF((($E97-$H97)/($R$1-$P$1))&lt;0,0,($E97-$H97)/($R$1-$P$1))</f>
        <v>3.76025925925926</v>
      </c>
      <c r="M97" s="7" t="n">
        <f aca="false">IF((($D97-$F97)/($R$1-$P$1))&lt;0,0,($D97-$F97)/($R$1-$P$1))</f>
        <v>96.5889014814815</v>
      </c>
    </row>
    <row r="98" customFormat="false" ht="18.75" hidden="false" customHeight="true" outlineLevel="0" collapsed="false">
      <c r="A98" s="11" t="s">
        <v>28</v>
      </c>
      <c r="B98" s="16" t="s">
        <v>11</v>
      </c>
      <c r="C98" s="14" t="n">
        <f aca="false">IF(ISNUMBER(INDEX('METAS E PESOS'!$D$3:$N$17,MATCH($A98,'METAS E PESOS'!$A$3:$A$17,0),MATCH($B98,'METAS E PESOS'!$D$2:$N$2,0))),INDEX('METAS E PESOS'!$D$3:$N$17,MATCH($A98,'METAS E PESOS'!$A$3:$A$17,0),MATCH($B98,'METAS E PESOS'!$D$2:$N$2,0)),0)</f>
        <v>0.064</v>
      </c>
      <c r="D98" s="13" t="n">
        <f aca="false">INDEX('METAS E PESOS'!$C$3:$C$17,MATCH($A98,'METAS E PESOS'!$A$3:$A$17,0))*$C98</f>
        <v>3546.30912</v>
      </c>
      <c r="E98" s="21" t="n">
        <f aca="false">INDEX('METAS E PESOS'!$B$3:$B$17,MATCH($A98,'METAS E PESOS'!$A$3:$A$17,0))*$C98</f>
        <v>139.136</v>
      </c>
      <c r="F98" s="13" t="n">
        <f aca="false">SUMIFS(BASE_VENDAS!$E$2:$E$125,BASE_VENDAS!$A$2:$A$125,$A98,BASE_VENDAS!$C$2:$C$125,$B98)</f>
        <v>963.92</v>
      </c>
      <c r="G98" s="14" t="n">
        <f aca="false">IFERROR($F98/$D98,0)</f>
        <v>0.271809356540244</v>
      </c>
      <c r="H98" s="12" t="n">
        <f aca="false">SUMIFS(BASE_VENDAS!$D$2:$D$125,BASE_VENDAS!$A$2:$A$125,$A98,BASE_VENDAS!$C$2:$C$125,$B98)</f>
        <v>36</v>
      </c>
      <c r="I98" s="14" t="n">
        <f aca="false">IFERROR($H98/$E98,0)</f>
        <v>0.258739650413983</v>
      </c>
      <c r="J98" s="13" t="n">
        <f aca="false">$F98/$P$1*$R$1</f>
        <v>9639.2</v>
      </c>
      <c r="K98" s="12" t="n">
        <f aca="false">$H98/$P$1*$R$1</f>
        <v>360</v>
      </c>
      <c r="L98" s="21" t="n">
        <f aca="false">IF((($E98-$H98)/($R$1-$P$1))&lt;0,0,($E98-$H98)/($R$1-$P$1))</f>
        <v>3.81985185185185</v>
      </c>
      <c r="M98" s="13" t="n">
        <f aca="false">IF((($D98-$F98)/($R$1-$P$1))&lt;0,0,($D98-$F98)/($R$1-$P$1))</f>
        <v>95.6440414814815</v>
      </c>
    </row>
    <row r="99" customFormat="false" ht="18.75" hidden="false" customHeight="true" outlineLevel="0" collapsed="false">
      <c r="A99" s="5" t="s">
        <v>28</v>
      </c>
      <c r="B99" s="9" t="s">
        <v>12</v>
      </c>
      <c r="C99" s="8" t="n">
        <f aca="false">IF(ISNUMBER(INDEX('METAS E PESOS'!$D$3:$N$17,MATCH($A99,'METAS E PESOS'!$A$3:$A$17,0),MATCH($B99,'METAS E PESOS'!$D$2:$N$2,0))),INDEX('METAS E PESOS'!$D$3:$N$17,MATCH($A99,'METAS E PESOS'!$A$3:$A$17,0),MATCH($B99,'METAS E PESOS'!$D$2:$N$2,0)),0)</f>
        <v>0.281</v>
      </c>
      <c r="D99" s="7" t="n">
        <f aca="false">INDEX('METAS E PESOS'!$C$3:$C$17,MATCH($A99,'METAS E PESOS'!$A$3:$A$17,0))*$C99</f>
        <v>15570.51348</v>
      </c>
      <c r="E99" s="22" t="n">
        <f aca="false">INDEX('METAS E PESOS'!$B$3:$B$17,MATCH($A99,'METAS E PESOS'!$A$3:$A$17,0))*$C99</f>
        <v>610.894</v>
      </c>
      <c r="F99" s="7" t="n">
        <f aca="false">SUMIFS(BASE_VENDAS!$E$2:$E$125,BASE_VENDAS!$A$2:$A$125,$A99,BASE_VENDAS!$C$2:$C$125,$B99)</f>
        <v>13586.69</v>
      </c>
      <c r="G99" s="8" t="n">
        <f aca="false">IFERROR($F99/$D99,0)</f>
        <v>0.872591004622412</v>
      </c>
      <c r="H99" s="6" t="n">
        <f aca="false">SUMIFS(BASE_VENDAS!$D$2:$D$125,BASE_VENDAS!$A$2:$A$125,$A99,BASE_VENDAS!$C$2:$C$125,$B99)</f>
        <v>524</v>
      </c>
      <c r="I99" s="8" t="n">
        <f aca="false">IFERROR($H99/$E99,0)</f>
        <v>0.857759283934693</v>
      </c>
      <c r="J99" s="7" t="n">
        <f aca="false">$F99/$P$1*$R$1</f>
        <v>135866.9</v>
      </c>
      <c r="K99" s="6" t="n">
        <f aca="false">$H99/$P$1*$R$1</f>
        <v>5240</v>
      </c>
      <c r="L99" s="22" t="n">
        <f aca="false">IF((($E99-$H99)/($R$1-$P$1))&lt;0,0,($E99-$H99)/($R$1-$P$1))</f>
        <v>3.2182962962963</v>
      </c>
      <c r="M99" s="7" t="n">
        <f aca="false">IF((($D99-$F99)/($R$1-$P$1))&lt;0,0,($D99-$F99)/($R$1-$P$1))</f>
        <v>73.4749437037037</v>
      </c>
    </row>
    <row r="100" customFormat="false" ht="18.75" hidden="false" customHeight="true" outlineLevel="0" collapsed="false">
      <c r="A100" s="11" t="s">
        <v>28</v>
      </c>
      <c r="B100" s="16" t="s">
        <v>14</v>
      </c>
      <c r="C100" s="14" t="n">
        <f aca="false">IF(ISNUMBER(INDEX('METAS E PESOS'!$D$3:$N$17,MATCH($A100,'METAS E PESOS'!$A$3:$A$17,0),MATCH($B100,'METAS E PESOS'!$D$2:$N$2,0))),INDEX('METAS E PESOS'!$D$3:$N$17,MATCH($A100,'METAS E PESOS'!$A$3:$A$17,0),MATCH($B100,'METAS E PESOS'!$D$2:$N$2,0)),0)</f>
        <v>0.052</v>
      </c>
      <c r="D100" s="13" t="n">
        <f aca="false">INDEX('METAS E PESOS'!$C$3:$C$17,MATCH($A100,'METAS E PESOS'!$A$3:$A$17,0))*$C100</f>
        <v>2881.37616</v>
      </c>
      <c r="E100" s="21" t="n">
        <f aca="false">INDEX('METAS E PESOS'!$B$3:$B$17,MATCH($A100,'METAS E PESOS'!$A$3:$A$17,0))*$C100</f>
        <v>113.048</v>
      </c>
      <c r="F100" s="13" t="n">
        <f aca="false">SUMIFS(BASE_VENDAS!$E$2:$E$125,BASE_VENDAS!$A$2:$A$125,$A100,BASE_VENDAS!$C$2:$C$125,$B100)</f>
        <v>1167.08</v>
      </c>
      <c r="G100" s="14" t="n">
        <f aca="false">IFERROR($F100/$D100,0)</f>
        <v>0.405042568270573</v>
      </c>
      <c r="H100" s="12" t="n">
        <f aca="false">SUMIFS(BASE_VENDAS!$D$2:$D$125,BASE_VENDAS!$A$2:$A$125,$A100,BASE_VENDAS!$C$2:$C$125,$B100)</f>
        <v>48</v>
      </c>
      <c r="I100" s="14" t="n">
        <f aca="false">IFERROR($H100/$E100,0)</f>
        <v>0.424598400679357</v>
      </c>
      <c r="J100" s="13" t="n">
        <f aca="false">$F100/$P$1*$R$1</f>
        <v>11670.8</v>
      </c>
      <c r="K100" s="12" t="n">
        <f aca="false">$H100/$P$1*$R$1</f>
        <v>480</v>
      </c>
      <c r="L100" s="21" t="n">
        <f aca="false">IF((($E100-$H100)/($R$1-$P$1))&lt;0,0,($E100-$H100)/($R$1-$P$1))</f>
        <v>2.40918518518519</v>
      </c>
      <c r="M100" s="13" t="n">
        <f aca="false">IF((($D100-$F100)/($R$1-$P$1))&lt;0,0,($D100-$F100)/($R$1-$P$1))</f>
        <v>63.4924503703704</v>
      </c>
    </row>
    <row r="101" customFormat="false" ht="18.75" hidden="false" customHeight="true" outlineLevel="0" collapsed="false">
      <c r="A101" s="5" t="s">
        <v>28</v>
      </c>
      <c r="B101" s="9" t="s">
        <v>15</v>
      </c>
      <c r="C101" s="8" t="n">
        <f aca="false">IF(ISNUMBER(INDEX('METAS E PESOS'!$D$3:$N$17,MATCH($A101,'METAS E PESOS'!$A$3:$A$17,0),MATCH($B101,'METAS E PESOS'!$D$2:$N$2,0))),INDEX('METAS E PESOS'!$D$3:$N$17,MATCH($A101,'METAS E PESOS'!$A$3:$A$17,0),MATCH($B101,'METAS E PESOS'!$D$2:$N$2,0)),0)</f>
        <v>0.07</v>
      </c>
      <c r="D101" s="7" t="n">
        <f aca="false">INDEX('METAS E PESOS'!$C$3:$C$17,MATCH($A101,'METAS E PESOS'!$A$3:$A$17,0))*$C101</f>
        <v>3878.7756</v>
      </c>
      <c r="E101" s="22" t="n">
        <f aca="false">INDEX('METAS E PESOS'!$B$3:$B$17,MATCH($A101,'METAS E PESOS'!$A$3:$A$17,0))*$C101</f>
        <v>152.18</v>
      </c>
      <c r="F101" s="7" t="n">
        <f aca="false">SUMIFS(BASE_VENDAS!$E$2:$E$125,BASE_VENDAS!$A$2:$A$125,$A101,BASE_VENDAS!$C$2:$C$125,$B101)</f>
        <v>7074.85</v>
      </c>
      <c r="G101" s="8" t="n">
        <f aca="false">IFERROR($F101/$D101,0)</f>
        <v>1.82399053969505</v>
      </c>
      <c r="H101" s="6" t="n">
        <f aca="false">SUMIFS(BASE_VENDAS!$D$2:$D$125,BASE_VENDAS!$A$2:$A$125,$A101,BASE_VENDAS!$C$2:$C$125,$B101)</f>
        <v>262</v>
      </c>
      <c r="I101" s="8" t="n">
        <f aca="false">IFERROR($H101/$E101,0)</f>
        <v>1.72164541989749</v>
      </c>
      <c r="J101" s="7" t="n">
        <f aca="false">$F101/$P$1*$R$1</f>
        <v>70748.5</v>
      </c>
      <c r="K101" s="6" t="n">
        <f aca="false">$H101/$P$1*$R$1</f>
        <v>2620</v>
      </c>
      <c r="L101" s="22" t="n">
        <f aca="false">IF((($E101-$H101)/($R$1-$P$1))&lt;0,0,($E101-$H101)/($R$1-$P$1))</f>
        <v>0</v>
      </c>
      <c r="M101" s="7" t="n">
        <f aca="false">IF((($D101-$F101)/($R$1-$P$1))&lt;0,0,($D101-$F101)/($R$1-$P$1))</f>
        <v>0</v>
      </c>
    </row>
    <row r="102" customFormat="false" ht="18.75" hidden="false" customHeight="true" outlineLevel="0" collapsed="false">
      <c r="A102" s="11" t="s">
        <v>29</v>
      </c>
      <c r="B102" s="16" t="s">
        <v>5</v>
      </c>
      <c r="C102" s="14" t="n">
        <f aca="false">IF(ISNUMBER(INDEX('METAS E PESOS'!$D$3:$N$17,MATCH($A102,'METAS E PESOS'!$A$3:$A$17,0),MATCH($B102,'METAS E PESOS'!$D$2:$N$2,0))),INDEX('METAS E PESOS'!$D$3:$N$17,MATCH($A102,'METAS E PESOS'!$A$3:$A$17,0),MATCH($B102,'METAS E PESOS'!$D$2:$N$2,0)),0)</f>
        <v>0.084</v>
      </c>
      <c r="D102" s="13" t="n">
        <f aca="false">INDEX('METAS E PESOS'!$C$3:$C$17,MATCH($A102,'METAS E PESOS'!$A$3:$A$17,0))*$C102</f>
        <v>8226.49968</v>
      </c>
      <c r="E102" s="21" t="n">
        <f aca="false">INDEX('METAS E PESOS'!$B$3:$B$17,MATCH($A102,'METAS E PESOS'!$A$3:$A$17,0))*$C102</f>
        <v>556.248</v>
      </c>
      <c r="F102" s="13" t="n">
        <f aca="false">SUMIFS(BASE_VENDAS!$E$2:$E$125,BASE_VENDAS!$A$2:$A$125,$A102,BASE_VENDAS!$C$2:$C$125,$B102)</f>
        <v>4248.54</v>
      </c>
      <c r="G102" s="14" t="n">
        <f aca="false">IFERROR($F102/$D102,0)</f>
        <v>0.51644565310431</v>
      </c>
      <c r="H102" s="12" t="n">
        <f aca="false">SUMIFS(BASE_VENDAS!$D$2:$D$125,BASE_VENDAS!$A$2:$A$125,$A102,BASE_VENDAS!$C$2:$C$125,$B102)</f>
        <v>298</v>
      </c>
      <c r="I102" s="14" t="n">
        <f aca="false">IFERROR($H102/$E102,0)</f>
        <v>0.535732263307014</v>
      </c>
      <c r="J102" s="13" t="n">
        <f aca="false">$F102/$P$1*$R$1</f>
        <v>42485.4</v>
      </c>
      <c r="K102" s="12" t="n">
        <f aca="false">$H102/$P$1*$R$1</f>
        <v>2980</v>
      </c>
      <c r="L102" s="21" t="n">
        <f aca="false">IF((($E102-$H102)/($R$1-$P$1))&lt;0,0,($E102-$H102)/($R$1-$P$1))</f>
        <v>9.56474074074074</v>
      </c>
      <c r="M102" s="13" t="n">
        <f aca="false">IF((($D102-$F102)/($R$1-$P$1))&lt;0,0,($D102-$F102)/($R$1-$P$1))</f>
        <v>147.33184</v>
      </c>
    </row>
    <row r="103" customFormat="false" ht="18.75" hidden="false" customHeight="true" outlineLevel="0" collapsed="false">
      <c r="A103" s="5" t="s">
        <v>29</v>
      </c>
      <c r="B103" s="9" t="s">
        <v>6</v>
      </c>
      <c r="C103" s="8" t="n">
        <f aca="false">IF(ISNUMBER(INDEX('METAS E PESOS'!$D$3:$N$17,MATCH($A103,'METAS E PESOS'!$A$3:$A$17,0),MATCH($B103,'METAS E PESOS'!$D$2:$N$2,0))),INDEX('METAS E PESOS'!$D$3:$N$17,MATCH($A103,'METAS E PESOS'!$A$3:$A$17,0),MATCH($B103,'METAS E PESOS'!$D$2:$N$2,0)),0)</f>
        <v>0.0609</v>
      </c>
      <c r="D103" s="7" t="n">
        <f aca="false">INDEX('METAS E PESOS'!$C$3:$C$17,MATCH($A103,'METAS E PESOS'!$A$3:$A$17,0))*$C103</f>
        <v>5964.212268</v>
      </c>
      <c r="E103" s="22" t="n">
        <f aca="false">INDEX('METAS E PESOS'!$B$3:$B$17,MATCH($A103,'METAS E PESOS'!$A$3:$A$17,0))*$C103</f>
        <v>403.2798</v>
      </c>
      <c r="F103" s="7" t="n">
        <f aca="false">SUMIFS(BASE_VENDAS!$E$2:$E$125,BASE_VENDAS!$A$2:$A$125,$A103,BASE_VENDAS!$C$2:$C$125,$B103)</f>
        <v>4254.26</v>
      </c>
      <c r="G103" s="8" t="n">
        <f aca="false">IFERROR($F103/$D103,0)</f>
        <v>0.713297885594303</v>
      </c>
      <c r="H103" s="6" t="n">
        <f aca="false">SUMIFS(BASE_VENDAS!$D$2:$D$125,BASE_VENDAS!$A$2:$A$125,$A103,BASE_VENDAS!$C$2:$C$125,$B103)</f>
        <v>286</v>
      </c>
      <c r="I103" s="8" t="n">
        <f aca="false">IFERROR($H103/$E103,0)</f>
        <v>0.709185037286767</v>
      </c>
      <c r="J103" s="7" t="n">
        <f aca="false">$F103/$P$1*$R$1</f>
        <v>42542.6</v>
      </c>
      <c r="K103" s="6" t="n">
        <f aca="false">$H103/$P$1*$R$1</f>
        <v>2860</v>
      </c>
      <c r="L103" s="22" t="n">
        <f aca="false">IF((($E103-$H103)/($R$1-$P$1))&lt;0,0,($E103-$H103)/($R$1-$P$1))</f>
        <v>4.3436962962963</v>
      </c>
      <c r="M103" s="7" t="n">
        <f aca="false">IF((($D103-$F103)/($R$1-$P$1))&lt;0,0,($D103-$F103)/($R$1-$P$1))</f>
        <v>63.3315654814815</v>
      </c>
    </row>
    <row r="104" customFormat="false" ht="18.75" hidden="false" customHeight="true" outlineLevel="0" collapsed="false">
      <c r="A104" s="11" t="s">
        <v>29</v>
      </c>
      <c r="B104" s="16" t="s">
        <v>7</v>
      </c>
      <c r="C104" s="14" t="n">
        <f aca="false">IF(ISNUMBER(INDEX('METAS E PESOS'!$D$3:$N$17,MATCH($A104,'METAS E PESOS'!$A$3:$A$17,0),MATCH($B104,'METAS E PESOS'!$D$2:$N$2,0))),INDEX('METAS E PESOS'!$D$3:$N$17,MATCH($A104,'METAS E PESOS'!$A$3:$A$17,0),MATCH($B104,'METAS E PESOS'!$D$2:$N$2,0)),0)</f>
        <v>0.134</v>
      </c>
      <c r="D104" s="13" t="n">
        <f aca="false">INDEX('METAS E PESOS'!$C$3:$C$17,MATCH($A104,'METAS E PESOS'!$A$3:$A$17,0))*$C104</f>
        <v>13123.22568</v>
      </c>
      <c r="E104" s="21" t="n">
        <f aca="false">INDEX('METAS E PESOS'!$B$3:$B$17,MATCH($A104,'METAS E PESOS'!$A$3:$A$17,0))*$C104</f>
        <v>887.348</v>
      </c>
      <c r="F104" s="13" t="n">
        <f aca="false">SUMIFS(BASE_VENDAS!$E$2:$E$125,BASE_VENDAS!$A$2:$A$125,$A104,BASE_VENDAS!$C$2:$C$125,$B104)</f>
        <v>8316.52</v>
      </c>
      <c r="G104" s="14" t="n">
        <f aca="false">IFERROR($F104/$D104,0)</f>
        <v>0.633725290015739</v>
      </c>
      <c r="H104" s="12" t="n">
        <f aca="false">SUMIFS(BASE_VENDAS!$D$2:$D$125,BASE_VENDAS!$A$2:$A$125,$A104,BASE_VENDAS!$C$2:$C$125,$B104)</f>
        <v>442</v>
      </c>
      <c r="I104" s="14" t="n">
        <f aca="false">IFERROR($H104/$E104,0)</f>
        <v>0.49811347971709</v>
      </c>
      <c r="J104" s="13" t="n">
        <f aca="false">$F104/$P$1*$R$1</f>
        <v>83165.2</v>
      </c>
      <c r="K104" s="12" t="n">
        <f aca="false">$H104/$P$1*$R$1</f>
        <v>4420</v>
      </c>
      <c r="L104" s="21" t="n">
        <f aca="false">IF((($E104-$H104)/($R$1-$P$1))&lt;0,0,($E104-$H104)/($R$1-$P$1))</f>
        <v>16.4943703703704</v>
      </c>
      <c r="M104" s="13" t="n">
        <f aca="false">IF((($D104-$F104)/($R$1-$P$1))&lt;0,0,($D104-$F104)/($R$1-$P$1))</f>
        <v>178.026136296296</v>
      </c>
    </row>
    <row r="105" customFormat="false" ht="18.75" hidden="false" customHeight="true" outlineLevel="0" collapsed="false">
      <c r="A105" s="5" t="s">
        <v>29</v>
      </c>
      <c r="B105" s="9" t="s">
        <v>8</v>
      </c>
      <c r="C105" s="8" t="n">
        <f aca="false">IF(ISNUMBER(INDEX('METAS E PESOS'!$D$3:$N$17,MATCH($A105,'METAS E PESOS'!$A$3:$A$17,0),MATCH($B105,'METAS E PESOS'!$D$2:$N$2,0))),INDEX('METAS E PESOS'!$D$3:$N$17,MATCH($A105,'METAS E PESOS'!$A$3:$A$17,0),MATCH($B105,'METAS E PESOS'!$D$2:$N$2,0)),0)</f>
        <v>0.046</v>
      </c>
      <c r="D105" s="7" t="n">
        <f aca="false">INDEX('METAS E PESOS'!$C$3:$C$17,MATCH($A105,'METAS E PESOS'!$A$3:$A$17,0))*$C105</f>
        <v>4504.98792</v>
      </c>
      <c r="E105" s="22" t="n">
        <f aca="false">INDEX('METAS E PESOS'!$B$3:$B$17,MATCH($A105,'METAS E PESOS'!$A$3:$A$17,0))*$C105</f>
        <v>304.612</v>
      </c>
      <c r="F105" s="7" t="n">
        <f aca="false">SUMIFS(BASE_VENDAS!$E$2:$E$125,BASE_VENDAS!$A$2:$A$125,$A105,BASE_VENDAS!$C$2:$C$125,$B105)</f>
        <v>2536.01</v>
      </c>
      <c r="G105" s="8" t="n">
        <f aca="false">IFERROR($F105/$D105,0)</f>
        <v>0.562933806934603</v>
      </c>
      <c r="H105" s="6" t="n">
        <f aca="false">SUMIFS(BASE_VENDAS!$D$2:$D$125,BASE_VENDAS!$A$2:$A$125,$A105,BASE_VENDAS!$C$2:$C$125,$B105)</f>
        <v>196</v>
      </c>
      <c r="I105" s="8" t="n">
        <f aca="false">IFERROR($H105/$E105,0)</f>
        <v>0.643441492784263</v>
      </c>
      <c r="J105" s="7" t="n">
        <f aca="false">$F105/$P$1*$R$1</f>
        <v>25360.1</v>
      </c>
      <c r="K105" s="6" t="n">
        <f aca="false">$H105/$P$1*$R$1</f>
        <v>1960</v>
      </c>
      <c r="L105" s="22" t="n">
        <f aca="false">IF((($E105-$H105)/($R$1-$P$1))&lt;0,0,($E105-$H105)/($R$1-$P$1))</f>
        <v>4.02266666666667</v>
      </c>
      <c r="M105" s="7" t="n">
        <f aca="false">IF((($D105-$F105)/($R$1-$P$1))&lt;0,0,($D105-$F105)/($R$1-$P$1))</f>
        <v>72.9251081481482</v>
      </c>
    </row>
    <row r="106" customFormat="false" ht="18.75" hidden="false" customHeight="true" outlineLevel="0" collapsed="false">
      <c r="A106" s="11" t="s">
        <v>29</v>
      </c>
      <c r="B106" s="16" t="s">
        <v>9</v>
      </c>
      <c r="C106" s="14" t="n">
        <f aca="false">IF(ISNUMBER(INDEX('METAS E PESOS'!$D$3:$N$17,MATCH($A106,'METAS E PESOS'!$A$3:$A$17,0),MATCH($B106,'METAS E PESOS'!$D$2:$N$2,0))),INDEX('METAS E PESOS'!$D$3:$N$17,MATCH($A106,'METAS E PESOS'!$A$3:$A$17,0),MATCH($B106,'METAS E PESOS'!$D$2:$N$2,0)),0)</f>
        <v>0.133</v>
      </c>
      <c r="D106" s="13" t="n">
        <f aca="false">INDEX('METAS E PESOS'!$C$3:$C$17,MATCH($A106,'METAS E PESOS'!$A$3:$A$17,0))*$C106</f>
        <v>13025.29116</v>
      </c>
      <c r="E106" s="21" t="n">
        <f aca="false">INDEX('METAS E PESOS'!$B$3:$B$17,MATCH($A106,'METAS E PESOS'!$A$3:$A$17,0))*$C106</f>
        <v>880.726</v>
      </c>
      <c r="F106" s="13" t="n">
        <f aca="false">SUMIFS(BASE_VENDAS!$E$2:$E$125,BASE_VENDAS!$A$2:$A$125,$A106,BASE_VENDAS!$C$2:$C$125,$B106)</f>
        <v>10518.37</v>
      </c>
      <c r="G106" s="14" t="n">
        <f aca="false">IFERROR($F106/$D106,0)</f>
        <v>0.807534347662137</v>
      </c>
      <c r="H106" s="12" t="n">
        <f aca="false">SUMIFS(BASE_VENDAS!$D$2:$D$125,BASE_VENDAS!$A$2:$A$125,$A106,BASE_VENDAS!$C$2:$C$125,$B106)</f>
        <v>688</v>
      </c>
      <c r="I106" s="14" t="n">
        <f aca="false">IFERROR($H106/$E106,0)</f>
        <v>0.781173713504541</v>
      </c>
      <c r="J106" s="13" t="n">
        <f aca="false">$F106/$P$1*$R$1</f>
        <v>105183.7</v>
      </c>
      <c r="K106" s="12" t="n">
        <f aca="false">$H106/$P$1*$R$1</f>
        <v>6880</v>
      </c>
      <c r="L106" s="21" t="n">
        <f aca="false">IF((($E106-$H106)/($R$1-$P$1))&lt;0,0,($E106-$H106)/($R$1-$P$1))</f>
        <v>7.138</v>
      </c>
      <c r="M106" s="13" t="n">
        <f aca="false">IF((($D106-$F106)/($R$1-$P$1))&lt;0,0,($D106-$F106)/($R$1-$P$1))</f>
        <v>92.8489318518518</v>
      </c>
    </row>
    <row r="107" customFormat="false" ht="18.75" hidden="false" customHeight="true" outlineLevel="0" collapsed="false">
      <c r="A107" s="5" t="s">
        <v>29</v>
      </c>
      <c r="B107" s="9" t="s">
        <v>10</v>
      </c>
      <c r="C107" s="8" t="n">
        <f aca="false">IF(ISNUMBER(INDEX('METAS E PESOS'!$D$3:$N$17,MATCH($A107,'METAS E PESOS'!$A$3:$A$17,0),MATCH($B107,'METAS E PESOS'!$D$2:$N$2,0))),INDEX('METAS E PESOS'!$D$3:$N$17,MATCH($A107,'METAS E PESOS'!$A$3:$A$17,0),MATCH($B107,'METAS E PESOS'!$D$2:$N$2,0)),0)</f>
        <v>0.1248</v>
      </c>
      <c r="D107" s="7" t="n">
        <f aca="false">INDEX('METAS E PESOS'!$C$3:$C$17,MATCH($A107,'METAS E PESOS'!$A$3:$A$17,0))*$C107</f>
        <v>12222.228096</v>
      </c>
      <c r="E107" s="22" t="n">
        <f aca="false">INDEX('METAS E PESOS'!$B$3:$B$17,MATCH($A107,'METAS E PESOS'!$A$3:$A$17,0))*$C107</f>
        <v>826.4256</v>
      </c>
      <c r="F107" s="7" t="n">
        <f aca="false">SUMIFS(BASE_VENDAS!$E$2:$E$125,BASE_VENDAS!$A$2:$A$125,$A107,BASE_VENDAS!$C$2:$C$125,$B107)</f>
        <v>7447.69</v>
      </c>
      <c r="G107" s="8" t="n">
        <f aca="false">IFERROR($F107/$D107,0)</f>
        <v>0.609356161699962</v>
      </c>
      <c r="H107" s="6" t="n">
        <f aca="false">SUMIFS(BASE_VENDAS!$D$2:$D$125,BASE_VENDAS!$A$2:$A$125,$A107,BASE_VENDAS!$C$2:$C$125,$B107)</f>
        <v>500</v>
      </c>
      <c r="I107" s="8" t="n">
        <f aca="false">IFERROR($H107/$E107,0)</f>
        <v>0.605015139898861</v>
      </c>
      <c r="J107" s="7" t="n">
        <f aca="false">$F107/$P$1*$R$1</f>
        <v>74476.9</v>
      </c>
      <c r="K107" s="6" t="n">
        <f aca="false">$H107/$P$1*$R$1</f>
        <v>5000</v>
      </c>
      <c r="L107" s="22" t="n">
        <f aca="false">IF((($E107-$H107)/($R$1-$P$1))&lt;0,0,($E107-$H107)/($R$1-$P$1))</f>
        <v>12.089837037037</v>
      </c>
      <c r="M107" s="7" t="n">
        <f aca="false">IF((($D107-$F107)/($R$1-$P$1))&lt;0,0,($D107-$F107)/($R$1-$P$1))</f>
        <v>176.834744296296</v>
      </c>
    </row>
    <row r="108" customFormat="false" ht="18.75" hidden="false" customHeight="true" outlineLevel="0" collapsed="false">
      <c r="A108" s="11" t="s">
        <v>29</v>
      </c>
      <c r="B108" s="16" t="s">
        <v>11</v>
      </c>
      <c r="C108" s="14" t="n">
        <f aca="false">IF(ISNUMBER(INDEX('METAS E PESOS'!$D$3:$N$17,MATCH($A108,'METAS E PESOS'!$A$3:$A$17,0),MATCH($B108,'METAS E PESOS'!$D$2:$N$2,0))),INDEX('METAS E PESOS'!$D$3:$N$17,MATCH($A108,'METAS E PESOS'!$A$3:$A$17,0),MATCH($B108,'METAS E PESOS'!$D$2:$N$2,0)),0)</f>
        <v>0.0737</v>
      </c>
      <c r="D108" s="13" t="n">
        <f aca="false">INDEX('METAS E PESOS'!$C$3:$C$17,MATCH($A108,'METAS E PESOS'!$A$3:$A$17,0))*$C108</f>
        <v>7217.774124</v>
      </c>
      <c r="E108" s="21" t="n">
        <f aca="false">INDEX('METAS E PESOS'!$B$3:$B$17,MATCH($A108,'METAS E PESOS'!$A$3:$A$17,0))*$C108</f>
        <v>488.0414</v>
      </c>
      <c r="F108" s="13" t="n">
        <f aca="false">SUMIFS(BASE_VENDAS!$E$2:$E$125,BASE_VENDAS!$A$2:$A$125,$A108,BASE_VENDAS!$C$2:$C$125,$B108)</f>
        <v>3347.98</v>
      </c>
      <c r="G108" s="14" t="n">
        <f aca="false">IFERROR($F108/$D108,0)</f>
        <v>0.463852143677862</v>
      </c>
      <c r="H108" s="12" t="n">
        <f aca="false">SUMIFS(BASE_VENDAS!$D$2:$D$125,BASE_VENDAS!$A$2:$A$125,$A108,BASE_VENDAS!$C$2:$C$125,$B108)</f>
        <v>220</v>
      </c>
      <c r="I108" s="14" t="n">
        <f aca="false">IFERROR($H108/$E108,0)</f>
        <v>0.450781429608226</v>
      </c>
      <c r="J108" s="13" t="n">
        <f aca="false">$F108/$P$1*$R$1</f>
        <v>33479.8</v>
      </c>
      <c r="K108" s="12" t="n">
        <f aca="false">$H108/$P$1*$R$1</f>
        <v>2200</v>
      </c>
      <c r="L108" s="21" t="n">
        <f aca="false">IF((($E108-$H108)/($R$1-$P$1))&lt;0,0,($E108-$H108)/($R$1-$P$1))</f>
        <v>9.92745925925926</v>
      </c>
      <c r="M108" s="13" t="n">
        <f aca="false">IF((($D108-$F108)/($R$1-$P$1))&lt;0,0,($D108-$F108)/($R$1-$P$1))</f>
        <v>143.325708296296</v>
      </c>
    </row>
    <row r="109" customFormat="false" ht="18.75" hidden="false" customHeight="true" outlineLevel="0" collapsed="false">
      <c r="A109" s="5" t="s">
        <v>29</v>
      </c>
      <c r="B109" s="9" t="s">
        <v>12</v>
      </c>
      <c r="C109" s="8" t="n">
        <f aca="false">IF(ISNUMBER(INDEX('METAS E PESOS'!$D$3:$N$17,MATCH($A109,'METAS E PESOS'!$A$3:$A$17,0),MATCH($B109,'METAS E PESOS'!$D$2:$N$2,0))),INDEX('METAS E PESOS'!$D$3:$N$17,MATCH($A109,'METAS E PESOS'!$A$3:$A$17,0),MATCH($B109,'METAS E PESOS'!$D$2:$N$2,0)),0)</f>
        <v>0.172</v>
      </c>
      <c r="D109" s="7" t="n">
        <f aca="false">INDEX('METAS E PESOS'!$C$3:$C$17,MATCH($A109,'METAS E PESOS'!$A$3:$A$17,0))*$C109</f>
        <v>16844.73744</v>
      </c>
      <c r="E109" s="22" t="n">
        <f aca="false">INDEX('METAS E PESOS'!$B$3:$B$17,MATCH($A109,'METAS E PESOS'!$A$3:$A$17,0))*$C109</f>
        <v>1138.984</v>
      </c>
      <c r="F109" s="7" t="n">
        <f aca="false">SUMIFS(BASE_VENDAS!$E$2:$E$125,BASE_VENDAS!$A$2:$A$125,$A109,BASE_VENDAS!$C$2:$C$125,$B109)</f>
        <v>17772.8</v>
      </c>
      <c r="G109" s="8" t="n">
        <f aca="false">IFERROR($F109/$D109,0)</f>
        <v>1.05509510393413</v>
      </c>
      <c r="H109" s="6" t="n">
        <f aca="false">SUMIFS(BASE_VENDAS!$D$2:$D$125,BASE_VENDAS!$A$2:$A$125,$A109,BASE_VENDAS!$C$2:$C$125,$B109)</f>
        <v>1134</v>
      </c>
      <c r="I109" s="8" t="n">
        <f aca="false">IFERROR($H109/$E109,0)</f>
        <v>0.995624170313192</v>
      </c>
      <c r="J109" s="7" t="n">
        <f aca="false">$F109/$P$1*$R$1</f>
        <v>177728</v>
      </c>
      <c r="K109" s="6" t="n">
        <f aca="false">$H109/$P$1*$R$1</f>
        <v>11340</v>
      </c>
      <c r="L109" s="22" t="n">
        <f aca="false">IF((($E109-$H109)/($R$1-$P$1))&lt;0,0,($E109-$H109)/($R$1-$P$1))</f>
        <v>0.18459259259259</v>
      </c>
      <c r="M109" s="7" t="n">
        <f aca="false">IF((($D109-$F109)/($R$1-$P$1))&lt;0,0,($D109-$F109)/($R$1-$P$1))</f>
        <v>0</v>
      </c>
    </row>
    <row r="110" customFormat="false" ht="18.75" hidden="false" customHeight="true" outlineLevel="0" collapsed="false">
      <c r="A110" s="11" t="s">
        <v>29</v>
      </c>
      <c r="B110" s="16" t="s">
        <v>13</v>
      </c>
      <c r="C110" s="14" t="n">
        <f aca="false">IF(ISNUMBER(INDEX('METAS E PESOS'!$D$3:$N$17,MATCH($A110,'METAS E PESOS'!$A$3:$A$17,0),MATCH($B110,'METAS E PESOS'!$D$2:$N$2,0))),INDEX('METAS E PESOS'!$D$3:$N$17,MATCH($A110,'METAS E PESOS'!$A$3:$A$17,0),MATCH($B110,'METAS E PESOS'!$D$2:$N$2,0)),0)</f>
        <v>0.0374</v>
      </c>
      <c r="D110" s="13" t="n">
        <f aca="false">INDEX('METAS E PESOS'!$C$3:$C$17,MATCH($A110,'METAS E PESOS'!$A$3:$A$17,0))*$C110</f>
        <v>3662.751048</v>
      </c>
      <c r="E110" s="21" t="n">
        <f aca="false">INDEX('METAS E PESOS'!$B$3:$B$17,MATCH($A110,'METAS E PESOS'!$A$3:$A$17,0))*$C110</f>
        <v>247.6628</v>
      </c>
      <c r="F110" s="13" t="n">
        <f aca="false">SUMIFS(BASE_VENDAS!$E$2:$E$125,BASE_VENDAS!$A$2:$A$125,$A110,BASE_VENDAS!$C$2:$C$125,$B110)</f>
        <v>1528.83</v>
      </c>
      <c r="G110" s="14" t="n">
        <f aca="false">IFERROR($F110/$D110,0)</f>
        <v>0.417399375487121</v>
      </c>
      <c r="H110" s="12" t="n">
        <f aca="false">SUMIFS(BASE_VENDAS!$D$2:$D$125,BASE_VENDAS!$A$2:$A$125,$A110,BASE_VENDAS!$C$2:$C$125,$B110)</f>
        <v>120</v>
      </c>
      <c r="I110" s="14" t="n">
        <f aca="false">IFERROR($H110/$E110,0)</f>
        <v>0.484529771931836</v>
      </c>
      <c r="J110" s="13" t="n">
        <f aca="false">$F110/$P$1*$R$1</f>
        <v>15288.3</v>
      </c>
      <c r="K110" s="12" t="n">
        <f aca="false">$H110/$P$1*$R$1</f>
        <v>1200</v>
      </c>
      <c r="L110" s="21" t="n">
        <f aca="false">IF((($E110-$H110)/($R$1-$P$1))&lt;0,0,($E110-$H110)/($R$1-$P$1))</f>
        <v>4.72825185185185</v>
      </c>
      <c r="M110" s="13" t="n">
        <f aca="false">IF((($D110-$F110)/($R$1-$P$1))&lt;0,0,($D110-$F110)/($R$1-$P$1))</f>
        <v>79.0341128888889</v>
      </c>
    </row>
    <row r="111" customFormat="false" ht="18.75" hidden="false" customHeight="true" outlineLevel="0" collapsed="false">
      <c r="A111" s="5" t="s">
        <v>29</v>
      </c>
      <c r="B111" s="9" t="s">
        <v>14</v>
      </c>
      <c r="C111" s="8" t="n">
        <f aca="false">IF(ISNUMBER(INDEX('METAS E PESOS'!$D$3:$N$17,MATCH($A111,'METAS E PESOS'!$A$3:$A$17,0),MATCH($B111,'METAS E PESOS'!$D$2:$N$2,0))),INDEX('METAS E PESOS'!$D$3:$N$17,MATCH($A111,'METAS E PESOS'!$A$3:$A$17,0),MATCH($B111,'METAS E PESOS'!$D$2:$N$2,0)),0)</f>
        <v>0.0582</v>
      </c>
      <c r="D111" s="7" t="n">
        <f aca="false">INDEX('METAS E PESOS'!$C$3:$C$17,MATCH($A111,'METAS E PESOS'!$A$3:$A$17,0))*$C111</f>
        <v>5699.789064</v>
      </c>
      <c r="E111" s="22" t="n">
        <f aca="false">INDEX('METAS E PESOS'!$B$3:$B$17,MATCH($A111,'METAS E PESOS'!$A$3:$A$17,0))*$C111</f>
        <v>385.4004</v>
      </c>
      <c r="F111" s="7" t="n">
        <f aca="false">SUMIFS(BASE_VENDAS!$E$2:$E$125,BASE_VENDAS!$A$2:$A$125,$A111,BASE_VENDAS!$C$2:$C$125,$B111)</f>
        <v>3152.13</v>
      </c>
      <c r="G111" s="8" t="n">
        <f aca="false">IFERROR($F111/$D111,0)</f>
        <v>0.553025728602647</v>
      </c>
      <c r="H111" s="6" t="n">
        <f aca="false">SUMIFS(BASE_VENDAS!$D$2:$D$125,BASE_VENDAS!$A$2:$A$125,$A111,BASE_VENDAS!$C$2:$C$125,$B111)</f>
        <v>238</v>
      </c>
      <c r="I111" s="8" t="n">
        <f aca="false">IFERROR($H111/$E111,0)</f>
        <v>0.617539577021716</v>
      </c>
      <c r="J111" s="7" t="n">
        <f aca="false">$F111/$P$1*$R$1</f>
        <v>31521.3</v>
      </c>
      <c r="K111" s="6" t="n">
        <f aca="false">$H111/$P$1*$R$1</f>
        <v>2380</v>
      </c>
      <c r="L111" s="22" t="n">
        <f aca="false">IF((($E111-$H111)/($R$1-$P$1))&lt;0,0,($E111-$H111)/($R$1-$P$1))</f>
        <v>5.45927407407407</v>
      </c>
      <c r="M111" s="7" t="n">
        <f aca="false">IF((($D111-$F111)/($R$1-$P$1))&lt;0,0,($D111-$F111)/($R$1-$P$1))</f>
        <v>94.3577431111111</v>
      </c>
    </row>
    <row r="112" customFormat="false" ht="18.75" hidden="false" customHeight="true" outlineLevel="0" collapsed="false">
      <c r="A112" s="11" t="s">
        <v>29</v>
      </c>
      <c r="B112" s="16" t="s">
        <v>15</v>
      </c>
      <c r="C112" s="14" t="n">
        <f aca="false">IF(ISNUMBER(INDEX('METAS E PESOS'!$D$3:$N$17,MATCH($A112,'METAS E PESOS'!$A$3:$A$17,0),MATCH($B112,'METAS E PESOS'!$D$2:$N$2,0))),INDEX('METAS E PESOS'!$D$3:$N$17,MATCH($A112,'METAS E PESOS'!$A$3:$A$17,0),MATCH($B112,'METAS E PESOS'!$D$2:$N$2,0)),0)</f>
        <v>0.076</v>
      </c>
      <c r="D112" s="13" t="n">
        <f aca="false">INDEX('METAS E PESOS'!$C$3:$C$17,MATCH($A112,'METAS E PESOS'!$A$3:$A$17,0))*$C112</f>
        <v>7443.02352</v>
      </c>
      <c r="E112" s="21" t="n">
        <f aca="false">INDEX('METAS E PESOS'!$B$3:$B$17,MATCH($A112,'METAS E PESOS'!$A$3:$A$17,0))*$C112</f>
        <v>503.272</v>
      </c>
      <c r="F112" s="13" t="n">
        <f aca="false">SUMIFS(BASE_VENDAS!$E$2:$E$125,BASE_VENDAS!$A$2:$A$125,$A112,BASE_VENDAS!$C$2:$C$125,$B112)</f>
        <v>5830.52</v>
      </c>
      <c r="G112" s="14" t="n">
        <f aca="false">IFERROR($F112/$D112,0)</f>
        <v>0.783353698175604</v>
      </c>
      <c r="H112" s="12" t="n">
        <f aca="false">SUMIFS(BASE_VENDAS!$D$2:$D$125,BASE_VENDAS!$A$2:$A$125,$A112,BASE_VENDAS!$C$2:$C$125,$B112)</f>
        <v>536</v>
      </c>
      <c r="I112" s="14" t="n">
        <f aca="false">IFERROR($H112/$E112,0)</f>
        <v>1.06503044079543</v>
      </c>
      <c r="J112" s="13" t="n">
        <f aca="false">$F112/$P$1*$R$1</f>
        <v>58305.2</v>
      </c>
      <c r="K112" s="12" t="n">
        <f aca="false">$H112/$P$1*$R$1</f>
        <v>5360</v>
      </c>
      <c r="L112" s="21" t="n">
        <f aca="false">IF((($E112-$H112)/($R$1-$P$1))&lt;0,0,($E112-$H112)/($R$1-$P$1))</f>
        <v>0</v>
      </c>
      <c r="M112" s="13" t="n">
        <f aca="false">IF((($D112-$F112)/($R$1-$P$1))&lt;0,0,($D112-$F112)/($R$1-$P$1))</f>
        <v>59.7223525925926</v>
      </c>
    </row>
    <row r="113" customFormat="false" ht="18.75" hidden="false" customHeight="true" outlineLevel="0" collapsed="false">
      <c r="A113" s="5" t="s">
        <v>30</v>
      </c>
      <c r="B113" s="9" t="s">
        <v>7</v>
      </c>
      <c r="C113" s="8" t="n">
        <f aca="false">IF(ISNUMBER(INDEX('METAS E PESOS'!$D$3:$N$17,MATCH($A113,'METAS E PESOS'!$A$3:$A$17,0),MATCH($B113,'METAS E PESOS'!$D$2:$N$2,0))),INDEX('METAS E PESOS'!$D$3:$N$17,MATCH($A113,'METAS E PESOS'!$A$3:$A$17,0),MATCH($B113,'METAS E PESOS'!$D$2:$N$2,0)),0)</f>
        <v>0.251</v>
      </c>
      <c r="D113" s="7" t="n">
        <f aca="false">INDEX('METAS E PESOS'!$C$3:$C$17,MATCH($A113,'METAS E PESOS'!$A$3:$A$17,0))*$C113</f>
        <v>5232.05735</v>
      </c>
      <c r="E113" s="22" t="n">
        <f aca="false">INDEX('METAS E PESOS'!$B$3:$B$17,MATCH($A113,'METAS E PESOS'!$A$3:$A$17,0))*$C113</f>
        <v>90.36</v>
      </c>
      <c r="F113" s="7" t="n">
        <f aca="false">SUMIFS(BASE_VENDAS!$E$2:$E$125,BASE_VENDAS!$A$2:$A$125,$A113,BASE_VENDAS!$C$2:$C$125,$B113)</f>
        <v>1096.96</v>
      </c>
      <c r="G113" s="8" t="n">
        <f aca="false">IFERROR($F113/$D113,0)</f>
        <v>0.209661310382999</v>
      </c>
      <c r="H113" s="6" t="n">
        <f aca="false">SUMIFS(BASE_VENDAS!$D$2:$D$125,BASE_VENDAS!$A$2:$A$125,$A113,BASE_VENDAS!$C$2:$C$125,$B113)</f>
        <v>24</v>
      </c>
      <c r="I113" s="8" t="n">
        <f aca="false">IFERROR($H113/$E113,0)</f>
        <v>0.265604249667995</v>
      </c>
      <c r="J113" s="7" t="n">
        <f aca="false">$F113/$P$1*$R$1</f>
        <v>10969.6</v>
      </c>
      <c r="K113" s="6" t="n">
        <f aca="false">$H113/$P$1*$R$1</f>
        <v>240</v>
      </c>
      <c r="L113" s="22" t="n">
        <f aca="false">IF((($E113-$H113)/($R$1-$P$1))&lt;0,0,($E113-$H113)/($R$1-$P$1))</f>
        <v>2.45777777777778</v>
      </c>
      <c r="M113" s="7" t="n">
        <f aca="false">IF((($D113-$F113)/($R$1-$P$1))&lt;0,0,($D113-$F113)/($R$1-$P$1))</f>
        <v>153.151753703704</v>
      </c>
    </row>
    <row r="114" customFormat="false" ht="18.75" hidden="false" customHeight="true" outlineLevel="0" collapsed="false">
      <c r="A114" s="11" t="s">
        <v>30</v>
      </c>
      <c r="B114" s="16" t="s">
        <v>9</v>
      </c>
      <c r="C114" s="14" t="n">
        <f aca="false">IF(ISNUMBER(INDEX('METAS E PESOS'!$D$3:$N$17,MATCH($A114,'METAS E PESOS'!$A$3:$A$17,0),MATCH($B114,'METAS E PESOS'!$D$2:$N$2,0))),INDEX('METAS E PESOS'!$D$3:$N$17,MATCH($A114,'METAS E PESOS'!$A$3:$A$17,0),MATCH($B114,'METAS E PESOS'!$D$2:$N$2,0)),0)</f>
        <v>0.237</v>
      </c>
      <c r="D114" s="13" t="n">
        <f aca="false">INDEX('METAS E PESOS'!$C$3:$C$17,MATCH($A114,'METAS E PESOS'!$A$3:$A$17,0))*$C114</f>
        <v>4940.22945</v>
      </c>
      <c r="E114" s="21" t="n">
        <f aca="false">INDEX('METAS E PESOS'!$B$3:$B$17,MATCH($A114,'METAS E PESOS'!$A$3:$A$17,0))*$C114</f>
        <v>85.32</v>
      </c>
      <c r="F114" s="13" t="n">
        <f aca="false">SUMIFS(BASE_VENDAS!$E$2:$E$125,BASE_VENDAS!$A$2:$A$125,$A114,BASE_VENDAS!$C$2:$C$125,$B114)</f>
        <v>464.52</v>
      </c>
      <c r="G114" s="14" t="n">
        <f aca="false">IFERROR($F114/$D114,0)</f>
        <v>0.0940280213098199</v>
      </c>
      <c r="H114" s="12" t="n">
        <f aca="false">SUMIFS(BASE_VENDAS!$D$2:$D$125,BASE_VENDAS!$A$2:$A$125,$A114,BASE_VENDAS!$C$2:$C$125,$B114)</f>
        <v>8</v>
      </c>
      <c r="I114" s="14" t="n">
        <f aca="false">IFERROR($H114/$E114,0)</f>
        <v>0.093764650726676</v>
      </c>
      <c r="J114" s="13" t="n">
        <f aca="false">$F114/$P$1*$R$1</f>
        <v>4645.2</v>
      </c>
      <c r="K114" s="12" t="n">
        <f aca="false">$H114/$P$1*$R$1</f>
        <v>80</v>
      </c>
      <c r="L114" s="21" t="n">
        <f aca="false">IF((($E114-$H114)/($R$1-$P$1))&lt;0,0,($E114-$H114)/($R$1-$P$1))</f>
        <v>2.8637037037037</v>
      </c>
      <c r="M114" s="13" t="n">
        <f aca="false">IF((($D114-$F114)/($R$1-$P$1))&lt;0,0,($D114-$F114)/($R$1-$P$1))</f>
        <v>165.767016666667</v>
      </c>
    </row>
    <row r="115" customFormat="false" ht="18.75" hidden="false" customHeight="true" outlineLevel="0" collapsed="false">
      <c r="A115" s="5" t="s">
        <v>30</v>
      </c>
      <c r="B115" s="9" t="s">
        <v>12</v>
      </c>
      <c r="C115" s="8" t="n">
        <f aca="false">IF(ISNUMBER(INDEX('METAS E PESOS'!$D$3:$N$17,MATCH($A115,'METAS E PESOS'!$A$3:$A$17,0),MATCH($B115,'METAS E PESOS'!$D$2:$N$2,0))),INDEX('METAS E PESOS'!$D$3:$N$17,MATCH($A115,'METAS E PESOS'!$A$3:$A$17,0),MATCH($B115,'METAS E PESOS'!$D$2:$N$2,0)),0)</f>
        <v>0.251</v>
      </c>
      <c r="D115" s="7" t="n">
        <f aca="false">INDEX('METAS E PESOS'!$C$3:$C$17,MATCH($A115,'METAS E PESOS'!$A$3:$A$17,0))*$C115</f>
        <v>5232.05735</v>
      </c>
      <c r="E115" s="22" t="n">
        <f aca="false">INDEX('METAS E PESOS'!$B$3:$B$17,MATCH($A115,'METAS E PESOS'!$A$3:$A$17,0))*$C115</f>
        <v>90.36</v>
      </c>
      <c r="F115" s="7" t="n">
        <f aca="false">SUMIFS(BASE_VENDAS!$E$2:$E$125,BASE_VENDAS!$A$2:$A$125,$A115,BASE_VENDAS!$C$2:$C$125,$B115)</f>
        <v>2160.38</v>
      </c>
      <c r="G115" s="8" t="n">
        <f aca="false">IFERROR($F115/$D115,0)</f>
        <v>0.412912140575065</v>
      </c>
      <c r="H115" s="6" t="n">
        <f aca="false">SUMIFS(BASE_VENDAS!$D$2:$D$125,BASE_VENDAS!$A$2:$A$125,$A115,BASE_VENDAS!$C$2:$C$125,$B115)</f>
        <v>34</v>
      </c>
      <c r="I115" s="8" t="n">
        <f aca="false">IFERROR($H115/$E115,0)</f>
        <v>0.376272687029659</v>
      </c>
      <c r="J115" s="7" t="n">
        <f aca="false">$F115/$P$1*$R$1</f>
        <v>21603.8</v>
      </c>
      <c r="K115" s="6" t="n">
        <f aca="false">$H115/$P$1*$R$1</f>
        <v>340</v>
      </c>
      <c r="L115" s="22" t="n">
        <f aca="false">IF((($E115-$H115)/($R$1-$P$1))&lt;0,0,($E115-$H115)/($R$1-$P$1))</f>
        <v>2.08740740740741</v>
      </c>
      <c r="M115" s="7" t="n">
        <f aca="false">IF((($D115-$F115)/($R$1-$P$1))&lt;0,0,($D115-$F115)/($R$1-$P$1))</f>
        <v>113.765827777778</v>
      </c>
    </row>
    <row r="116" customFormat="false" ht="18.75" hidden="false" customHeight="true" outlineLevel="0" collapsed="false">
      <c r="A116" s="11" t="s">
        <v>30</v>
      </c>
      <c r="B116" s="16" t="s">
        <v>6</v>
      </c>
      <c r="C116" s="14" t="n">
        <f aca="false">IF(ISNUMBER(INDEX('METAS E PESOS'!$D$3:$N$17,MATCH($A116,'METAS E PESOS'!$A$3:$A$17,0),MATCH($B116,'METAS E PESOS'!$D$2:$N$2,0))),INDEX('METAS E PESOS'!$D$3:$N$17,MATCH($A116,'METAS E PESOS'!$A$3:$A$17,0),MATCH($B116,'METAS E PESOS'!$D$2:$N$2,0)),0)</f>
        <v>0.111</v>
      </c>
      <c r="D116" s="13" t="n">
        <f aca="false">INDEX('METAS E PESOS'!$C$3:$C$17,MATCH($A116,'METAS E PESOS'!$A$3:$A$17,0))*$C116</f>
        <v>2313.77835</v>
      </c>
      <c r="E116" s="21" t="n">
        <f aca="false">INDEX('METAS E PESOS'!$B$3:$B$17,MATCH($A116,'METAS E PESOS'!$A$3:$A$17,0))*$C116</f>
        <v>39.96</v>
      </c>
      <c r="F116" s="13" t="n">
        <f aca="false">SUMIFS(BASE_VENDAS!$E$2:$E$125,BASE_VENDAS!$A$2:$A$125,$A116,BASE_VENDAS!$C$2:$C$125,$B116)</f>
        <v>431.03</v>
      </c>
      <c r="G116" s="14" t="n">
        <f aca="false">IFERROR($F116/$D116,0)</f>
        <v>0.186288371139785</v>
      </c>
      <c r="H116" s="12" t="n">
        <f aca="false">SUMIFS(BASE_VENDAS!$D$2:$D$125,BASE_VENDAS!$A$2:$A$125,$A116,BASE_VENDAS!$C$2:$C$125,$B116)</f>
        <v>6</v>
      </c>
      <c r="I116" s="14" t="n">
        <f aca="false">IFERROR($H116/$E116,0)</f>
        <v>0.15015015015015</v>
      </c>
      <c r="J116" s="13" t="n">
        <f aca="false">$F116/$P$1*$R$1</f>
        <v>4310.3</v>
      </c>
      <c r="K116" s="12" t="n">
        <f aca="false">$H116/$P$1*$R$1</f>
        <v>60</v>
      </c>
      <c r="L116" s="21" t="n">
        <f aca="false">IF((($E116-$H116)/($R$1-$P$1))&lt;0,0,($E116-$H116)/($R$1-$P$1))</f>
        <v>1.25777777777778</v>
      </c>
      <c r="M116" s="13" t="n">
        <f aca="false">IF((($D116-$F116)/($R$1-$P$1))&lt;0,0,($D116-$F116)/($R$1-$P$1))</f>
        <v>69.7314203703704</v>
      </c>
    </row>
    <row r="117" customFormat="false" ht="18.75" hidden="false" customHeight="true" outlineLevel="0" collapsed="false">
      <c r="A117" s="5" t="s">
        <v>30</v>
      </c>
      <c r="B117" s="9" t="s">
        <v>15</v>
      </c>
      <c r="C117" s="8" t="n">
        <f aca="false">IF(ISNUMBER(INDEX('METAS E PESOS'!$D$3:$N$17,MATCH($A117,'METAS E PESOS'!$A$3:$A$17,0),MATCH($B117,'METAS E PESOS'!$D$2:$N$2,0))),INDEX('METAS E PESOS'!$D$3:$N$17,MATCH($A117,'METAS E PESOS'!$A$3:$A$17,0),MATCH($B117,'METAS E PESOS'!$D$2:$N$2,0)),0)</f>
        <v>0.15</v>
      </c>
      <c r="D117" s="7" t="n">
        <f aca="false">INDEX('METAS E PESOS'!$C$3:$C$17,MATCH($A117,'METAS E PESOS'!$A$3:$A$17,0))*$C117</f>
        <v>3126.7275</v>
      </c>
      <c r="E117" s="22" t="n">
        <f aca="false">INDEX('METAS E PESOS'!$B$3:$B$17,MATCH($A117,'METAS E PESOS'!$A$3:$A$17,0))*$C117</f>
        <v>54</v>
      </c>
      <c r="F117" s="7" t="n">
        <f aca="false">SUMIFS(BASE_VENDAS!$E$2:$E$125,BASE_VENDAS!$A$2:$A$125,$A117,BASE_VENDAS!$C$2:$C$125,$B117)</f>
        <v>4698.46</v>
      </c>
      <c r="G117" s="8" t="n">
        <f aca="false">IFERROR($F117/$D117,0)</f>
        <v>1.50267652041951</v>
      </c>
      <c r="H117" s="6" t="n">
        <f aca="false">SUMIFS(BASE_VENDAS!$D$2:$D$125,BASE_VENDAS!$A$2:$A$125,$A117,BASE_VENDAS!$C$2:$C$125,$B117)</f>
        <v>82</v>
      </c>
      <c r="I117" s="8" t="n">
        <f aca="false">IFERROR($H117/$E117,0)</f>
        <v>1.51851851851852</v>
      </c>
      <c r="J117" s="7" t="n">
        <f aca="false">$F117/$P$1*$R$1</f>
        <v>46984.6</v>
      </c>
      <c r="K117" s="6" t="n">
        <f aca="false">$H117/$P$1*$R$1</f>
        <v>820</v>
      </c>
      <c r="L117" s="22" t="n">
        <f aca="false">IF((($E117-$H117)/($R$1-$P$1))&lt;0,0,($E117-$H117)/($R$1-$P$1))</f>
        <v>0</v>
      </c>
      <c r="M117" s="7" t="n">
        <f aca="false">IF((($D117-$F117)/($R$1-$P$1))&lt;0,0,($D117-$F117)/($R$1-$P$1))</f>
        <v>0</v>
      </c>
    </row>
    <row r="118" customFormat="false" ht="18.75" hidden="false" customHeight="true" outlineLevel="0" collapsed="false">
      <c r="A118" s="11" t="s">
        <v>31</v>
      </c>
      <c r="B118" s="16" t="s">
        <v>5</v>
      </c>
      <c r="C118" s="14" t="n">
        <f aca="false">IF(ISNUMBER(INDEX('METAS E PESOS'!$D$3:$N$17,MATCH($A118,'METAS E PESOS'!$A$3:$A$17,0),MATCH($B118,'METAS E PESOS'!$D$2:$N$2,0))),INDEX('METAS E PESOS'!$D$3:$N$17,MATCH($A118,'METAS E PESOS'!$A$3:$A$17,0),MATCH($B118,'METAS E PESOS'!$D$2:$N$2,0)),0)</f>
        <v>0.084</v>
      </c>
      <c r="D118" s="13" t="n">
        <f aca="false">INDEX('METAS E PESOS'!$C$3:$C$17,MATCH($A118,'METAS E PESOS'!$A$3:$A$17,0))*$C118</f>
        <v>11139.072</v>
      </c>
      <c r="E118" s="21" t="n">
        <f aca="false">INDEX('METAS E PESOS'!$B$3:$B$17,MATCH($A118,'METAS E PESOS'!$A$3:$A$17,0))*$C118</f>
        <v>235.2</v>
      </c>
      <c r="F118" s="13" t="n">
        <f aca="false">SUMIFS(BASE_VENDAS!$E$2:$E$125,BASE_VENDAS!$A$2:$A$125,$A118,BASE_VENDAS!$C$2:$C$125,$B118)</f>
        <v>2445.84</v>
      </c>
      <c r="G118" s="14" t="n">
        <f aca="false">IFERROR($F118/$D118,0)</f>
        <v>0.21957304881412</v>
      </c>
      <c r="H118" s="12" t="n">
        <f aca="false">SUMIFS(BASE_VENDAS!$D$2:$D$125,BASE_VENDAS!$A$2:$A$125,$A118,BASE_VENDAS!$C$2:$C$125,$B118)</f>
        <v>42</v>
      </c>
      <c r="I118" s="14" t="n">
        <f aca="false">IFERROR($H118/$E118,0)</f>
        <v>0.178571428571429</v>
      </c>
      <c r="J118" s="13" t="n">
        <f aca="false">$F118/$P$1*$R$1</f>
        <v>24458.4</v>
      </c>
      <c r="K118" s="12" t="n">
        <f aca="false">$H118/$P$1*$R$1</f>
        <v>420</v>
      </c>
      <c r="L118" s="21" t="n">
        <f aca="false">IF((($E118-$H118)/($R$1-$P$1))&lt;0,0,($E118-$H118)/($R$1-$P$1))</f>
        <v>7.15555555555556</v>
      </c>
      <c r="M118" s="13" t="n">
        <f aca="false">IF((($D118-$F118)/($R$1-$P$1))&lt;0,0,($D118-$F118)/($R$1-$P$1))</f>
        <v>321.971555555556</v>
      </c>
    </row>
    <row r="119" customFormat="false" ht="18.75" hidden="false" customHeight="true" outlineLevel="0" collapsed="false">
      <c r="A119" s="5" t="s">
        <v>31</v>
      </c>
      <c r="B119" s="9" t="s">
        <v>6</v>
      </c>
      <c r="C119" s="8" t="n">
        <f aca="false">IF(ISNUMBER(INDEX('METAS E PESOS'!$D$3:$N$17,MATCH($A119,'METAS E PESOS'!$A$3:$A$17,0),MATCH($B119,'METAS E PESOS'!$D$2:$N$2,0))),INDEX('METAS E PESOS'!$D$3:$N$17,MATCH($A119,'METAS E PESOS'!$A$3:$A$17,0),MATCH($B119,'METAS E PESOS'!$D$2:$N$2,0)),0)</f>
        <v>0.0409</v>
      </c>
      <c r="D119" s="7" t="n">
        <f aca="false">INDEX('METAS E PESOS'!$C$3:$C$17,MATCH($A119,'METAS E PESOS'!$A$3:$A$17,0))*$C119</f>
        <v>5423.6672</v>
      </c>
      <c r="E119" s="22" t="n">
        <f aca="false">INDEX('METAS E PESOS'!$B$3:$B$17,MATCH($A119,'METAS E PESOS'!$A$3:$A$17,0))*$C119</f>
        <v>114.52</v>
      </c>
      <c r="F119" s="7" t="n">
        <f aca="false">SUMIFS(BASE_VENDAS!$E$2:$E$125,BASE_VENDAS!$A$2:$A$125,$A119,BASE_VENDAS!$C$2:$C$125,$B119)</f>
        <v>2367.37</v>
      </c>
      <c r="G119" s="8" t="n">
        <f aca="false">IFERROR($F119/$D119,0)</f>
        <v>0.436488802262794</v>
      </c>
      <c r="H119" s="6" t="n">
        <f aca="false">SUMIFS(BASE_VENDAS!$D$2:$D$125,BASE_VENDAS!$A$2:$A$125,$A119,BASE_VENDAS!$C$2:$C$125,$B119)</f>
        <v>56</v>
      </c>
      <c r="I119" s="8" t="n">
        <f aca="false">IFERROR($H119/$E119,0)</f>
        <v>0.488997555012225</v>
      </c>
      <c r="J119" s="7" t="n">
        <f aca="false">$F119/$P$1*$R$1</f>
        <v>23673.7</v>
      </c>
      <c r="K119" s="6" t="n">
        <f aca="false">$H119/$P$1*$R$1</f>
        <v>560</v>
      </c>
      <c r="L119" s="22" t="n">
        <f aca="false">IF((($E119-$H119)/($R$1-$P$1))&lt;0,0,($E119-$H119)/($R$1-$P$1))</f>
        <v>2.16740740740741</v>
      </c>
      <c r="M119" s="7" t="n">
        <f aca="false">IF((($D119-$F119)/($R$1-$P$1))&lt;0,0,($D119-$F119)/($R$1-$P$1))</f>
        <v>113.196192592593</v>
      </c>
    </row>
    <row r="120" customFormat="false" ht="18.75" hidden="false" customHeight="true" outlineLevel="0" collapsed="false">
      <c r="A120" s="11" t="s">
        <v>31</v>
      </c>
      <c r="B120" s="16" t="s">
        <v>7</v>
      </c>
      <c r="C120" s="14" t="n">
        <f aca="false">IF(ISNUMBER(INDEX('METAS E PESOS'!$D$3:$N$17,MATCH($A120,'METAS E PESOS'!$A$3:$A$17,0),MATCH($B120,'METAS E PESOS'!$D$2:$N$2,0))),INDEX('METAS E PESOS'!$D$3:$N$17,MATCH($A120,'METAS E PESOS'!$A$3:$A$17,0),MATCH($B120,'METAS E PESOS'!$D$2:$N$2,0)),0)</f>
        <v>0.16</v>
      </c>
      <c r="D120" s="13" t="n">
        <f aca="false">INDEX('METAS E PESOS'!$C$3:$C$17,MATCH($A120,'METAS E PESOS'!$A$3:$A$17,0))*$C120</f>
        <v>21217.28</v>
      </c>
      <c r="E120" s="21" t="n">
        <f aca="false">INDEX('METAS E PESOS'!$B$3:$B$17,MATCH($A120,'METAS E PESOS'!$A$3:$A$17,0))*$C120</f>
        <v>448</v>
      </c>
      <c r="F120" s="13" t="n">
        <f aca="false">SUMIFS(BASE_VENDAS!$E$2:$E$125,BASE_VENDAS!$A$2:$A$125,$A120,BASE_VENDAS!$C$2:$C$125,$B120)</f>
        <v>9805.4</v>
      </c>
      <c r="G120" s="14" t="n">
        <f aca="false">IFERROR($F120/$D120,0)</f>
        <v>0.462142178450772</v>
      </c>
      <c r="H120" s="12" t="n">
        <f aca="false">SUMIFS(BASE_VENDAS!$D$2:$D$125,BASE_VENDAS!$A$2:$A$125,$A120,BASE_VENDAS!$C$2:$C$125,$B120)</f>
        <v>206</v>
      </c>
      <c r="I120" s="14" t="n">
        <f aca="false">IFERROR($H120/$E120,0)</f>
        <v>0.459821428571429</v>
      </c>
      <c r="J120" s="13" t="n">
        <f aca="false">$F120/$P$1*$R$1</f>
        <v>98054</v>
      </c>
      <c r="K120" s="12" t="n">
        <f aca="false">$H120/$P$1*$R$1</f>
        <v>2060</v>
      </c>
      <c r="L120" s="21" t="n">
        <f aca="false">IF((($E120-$H120)/($R$1-$P$1))&lt;0,0,($E120-$H120)/($R$1-$P$1))</f>
        <v>8.96296296296296</v>
      </c>
      <c r="M120" s="13" t="n">
        <f aca="false">IF((($D120-$F120)/($R$1-$P$1))&lt;0,0,($D120-$F120)/($R$1-$P$1))</f>
        <v>422.662222222222</v>
      </c>
    </row>
    <row r="121" customFormat="false" ht="18.75" hidden="false" customHeight="true" outlineLevel="0" collapsed="false">
      <c r="A121" s="5" t="s">
        <v>31</v>
      </c>
      <c r="B121" s="9" t="s">
        <v>9</v>
      </c>
      <c r="C121" s="8" t="n">
        <f aca="false">IF(ISNUMBER(INDEX('METAS E PESOS'!$D$3:$N$17,MATCH($A121,'METAS E PESOS'!$A$3:$A$17,0),MATCH($B121,'METAS E PESOS'!$D$2:$N$2,0))),INDEX('METAS E PESOS'!$D$3:$N$17,MATCH($A121,'METAS E PESOS'!$A$3:$A$17,0),MATCH($B121,'METAS E PESOS'!$D$2:$N$2,0)),0)</f>
        <v>0.1071</v>
      </c>
      <c r="D121" s="7" t="n">
        <f aca="false">INDEX('METAS E PESOS'!$C$3:$C$17,MATCH($A121,'METAS E PESOS'!$A$3:$A$17,0))*$C121</f>
        <v>14202.3168</v>
      </c>
      <c r="E121" s="22" t="n">
        <f aca="false">INDEX('METAS E PESOS'!$B$3:$B$17,MATCH($A121,'METAS E PESOS'!$A$3:$A$17,0))*$C121</f>
        <v>299.88</v>
      </c>
      <c r="F121" s="7" t="n">
        <f aca="false">SUMIFS(BASE_VENDAS!$E$2:$E$125,BASE_VENDAS!$A$2:$A$125,$A121,BASE_VENDAS!$C$2:$C$125,$B121)</f>
        <v>6374.48</v>
      </c>
      <c r="G121" s="8" t="n">
        <f aca="false">IFERROR($F121/$D121,0)</f>
        <v>0.448833812804401</v>
      </c>
      <c r="H121" s="6" t="n">
        <f aca="false">SUMIFS(BASE_VENDAS!$D$2:$D$125,BASE_VENDAS!$A$2:$A$125,$A121,BASE_VENDAS!$C$2:$C$125,$B121)</f>
        <v>104</v>
      </c>
      <c r="I121" s="8" t="n">
        <f aca="false">IFERROR($H121/$E121,0)</f>
        <v>0.346805388822196</v>
      </c>
      <c r="J121" s="7" t="n">
        <f aca="false">$F121/$P$1*$R$1</f>
        <v>63744.8</v>
      </c>
      <c r="K121" s="6" t="n">
        <f aca="false">$H121/$P$1*$R$1</f>
        <v>1040</v>
      </c>
      <c r="L121" s="22" t="n">
        <f aca="false">IF((($E121-$H121)/($R$1-$P$1))&lt;0,0,($E121-$H121)/($R$1-$P$1))</f>
        <v>7.25481481481481</v>
      </c>
      <c r="M121" s="7" t="n">
        <f aca="false">IF((($D121-$F121)/($R$1-$P$1))&lt;0,0,($D121-$F121)/($R$1-$P$1))</f>
        <v>289.919881481482</v>
      </c>
    </row>
    <row r="122" customFormat="false" ht="18.75" hidden="false" customHeight="true" outlineLevel="0" collapsed="false">
      <c r="A122" s="11" t="s">
        <v>31</v>
      </c>
      <c r="B122" s="16" t="s">
        <v>10</v>
      </c>
      <c r="C122" s="14" t="n">
        <f aca="false">IF(ISNUMBER(INDEX('METAS E PESOS'!$D$3:$N$17,MATCH($A122,'METAS E PESOS'!$A$3:$A$17,0),MATCH($B122,'METAS E PESOS'!$D$2:$N$2,0))),INDEX('METAS E PESOS'!$D$3:$N$17,MATCH($A122,'METAS E PESOS'!$A$3:$A$17,0),MATCH($B122,'METAS E PESOS'!$D$2:$N$2,0)),0)</f>
        <v>0.0776</v>
      </c>
      <c r="D122" s="13" t="n">
        <f aca="false">INDEX('METAS E PESOS'!$C$3:$C$17,MATCH($A122,'METAS E PESOS'!$A$3:$A$17,0))*$C122</f>
        <v>10290.3808</v>
      </c>
      <c r="E122" s="21" t="n">
        <f aca="false">INDEX('METAS E PESOS'!$B$3:$B$17,MATCH($A122,'METAS E PESOS'!$A$3:$A$17,0))*$C122</f>
        <v>217.28</v>
      </c>
      <c r="F122" s="13" t="n">
        <f aca="false">SUMIFS(BASE_VENDAS!$E$2:$E$125,BASE_VENDAS!$A$2:$A$125,$A122,BASE_VENDAS!$C$2:$C$125,$B122)</f>
        <v>3246.54</v>
      </c>
      <c r="G122" s="14" t="n">
        <f aca="false">IFERROR($F122/$D122,0)</f>
        <v>0.315492697801815</v>
      </c>
      <c r="H122" s="12" t="n">
        <f aca="false">SUMIFS(BASE_VENDAS!$D$2:$D$125,BASE_VENDAS!$A$2:$A$125,$A122,BASE_VENDAS!$C$2:$C$125,$B122)</f>
        <v>68</v>
      </c>
      <c r="I122" s="14" t="n">
        <f aca="false">IFERROR($H122/$E122,0)</f>
        <v>0.312960235640648</v>
      </c>
      <c r="J122" s="13" t="n">
        <f aca="false">$F122/$P$1*$R$1</f>
        <v>32465.4</v>
      </c>
      <c r="K122" s="12" t="n">
        <f aca="false">$H122/$P$1*$R$1</f>
        <v>680</v>
      </c>
      <c r="L122" s="21" t="n">
        <f aca="false">IF((($E122-$H122)/($R$1-$P$1))&lt;0,0,($E122-$H122)/($R$1-$P$1))</f>
        <v>5.52888888888889</v>
      </c>
      <c r="M122" s="13" t="n">
        <f aca="false">IF((($D122-$F122)/($R$1-$P$1))&lt;0,0,($D122-$F122)/($R$1-$P$1))</f>
        <v>260.882992592593</v>
      </c>
    </row>
    <row r="123" customFormat="false" ht="18.75" hidden="false" customHeight="true" outlineLevel="0" collapsed="false">
      <c r="A123" s="5" t="s">
        <v>31</v>
      </c>
      <c r="B123" s="9" t="s">
        <v>11</v>
      </c>
      <c r="C123" s="8" t="n">
        <f aca="false">IF(ISNUMBER(INDEX('METAS E PESOS'!$D$3:$N$17,MATCH($A123,'METAS E PESOS'!$A$3:$A$17,0),MATCH($B123,'METAS E PESOS'!$D$2:$N$2,0))),INDEX('METAS E PESOS'!$D$3:$N$17,MATCH($A123,'METAS E PESOS'!$A$3:$A$17,0),MATCH($B123,'METAS E PESOS'!$D$2:$N$2,0)),0)</f>
        <v>0.0811</v>
      </c>
      <c r="D123" s="7" t="n">
        <f aca="false">INDEX('METAS E PESOS'!$C$3:$C$17,MATCH($A123,'METAS E PESOS'!$A$3:$A$17,0))*$C123</f>
        <v>10754.5088</v>
      </c>
      <c r="E123" s="22" t="n">
        <f aca="false">INDEX('METAS E PESOS'!$B$3:$B$17,MATCH($A123,'METAS E PESOS'!$A$3:$A$17,0))*$C123</f>
        <v>227.08</v>
      </c>
      <c r="F123" s="7" t="n">
        <f aca="false">SUMIFS(BASE_VENDAS!$E$2:$E$125,BASE_VENDAS!$A$2:$A$125,$A123,BASE_VENDAS!$C$2:$C$125,$B123)</f>
        <v>2031.31</v>
      </c>
      <c r="G123" s="8" t="n">
        <f aca="false">IFERROR($F123/$D123,0)</f>
        <v>0.188879849166147</v>
      </c>
      <c r="H123" s="6" t="n">
        <f aca="false">SUMIFS(BASE_VENDAS!$D$2:$D$125,BASE_VENDAS!$A$2:$A$125,$A123,BASE_VENDAS!$C$2:$C$125,$B123)</f>
        <v>52</v>
      </c>
      <c r="I123" s="8" t="n">
        <f aca="false">IFERROR($H123/$E123,0)</f>
        <v>0.228994187070636</v>
      </c>
      <c r="J123" s="7" t="n">
        <f aca="false">$F123/$P$1*$R$1</f>
        <v>20313.1</v>
      </c>
      <c r="K123" s="6" t="n">
        <f aca="false">$H123/$P$1*$R$1</f>
        <v>520</v>
      </c>
      <c r="L123" s="22" t="n">
        <f aca="false">IF((($E123-$H123)/($R$1-$P$1))&lt;0,0,($E123-$H123)/($R$1-$P$1))</f>
        <v>6.48444444444445</v>
      </c>
      <c r="M123" s="7" t="n">
        <f aca="false">IF((($D123-$F123)/($R$1-$P$1))&lt;0,0,($D123-$F123)/($R$1-$P$1))</f>
        <v>323.081437037037</v>
      </c>
    </row>
    <row r="124" customFormat="false" ht="18.75" hidden="false" customHeight="true" outlineLevel="0" collapsed="false">
      <c r="A124" s="11" t="s">
        <v>31</v>
      </c>
      <c r="B124" s="16" t="s">
        <v>12</v>
      </c>
      <c r="C124" s="14" t="n">
        <f aca="false">IF(ISNUMBER(INDEX('METAS E PESOS'!$D$3:$N$17,MATCH($A124,'METAS E PESOS'!$A$3:$A$17,0),MATCH($B124,'METAS E PESOS'!$D$2:$N$2,0))),INDEX('METAS E PESOS'!$D$3:$N$17,MATCH($A124,'METAS E PESOS'!$A$3:$A$17,0),MATCH($B124,'METAS E PESOS'!$D$2:$N$2,0)),0)</f>
        <v>0.2294</v>
      </c>
      <c r="D124" s="13" t="n">
        <f aca="false">INDEX('METAS E PESOS'!$C$3:$C$17,MATCH($A124,'METAS E PESOS'!$A$3:$A$17,0))*$C124</f>
        <v>30420.2752</v>
      </c>
      <c r="E124" s="21" t="n">
        <f aca="false">INDEX('METAS E PESOS'!$B$3:$B$17,MATCH($A124,'METAS E PESOS'!$A$3:$A$17,0))*$C124</f>
        <v>642.32</v>
      </c>
      <c r="F124" s="13" t="n">
        <f aca="false">SUMIFS(BASE_VENDAS!$E$2:$E$125,BASE_VENDAS!$A$2:$A$125,$A124,BASE_VENDAS!$C$2:$C$125,$B124)</f>
        <v>11696.4</v>
      </c>
      <c r="G124" s="14" t="n">
        <f aca="false">IFERROR($F124/$D124,0)</f>
        <v>0.384493563029962</v>
      </c>
      <c r="H124" s="12" t="n">
        <f aca="false">SUMIFS(BASE_VENDAS!$D$2:$D$125,BASE_VENDAS!$A$2:$A$125,$A124,BASE_VENDAS!$C$2:$C$125,$B124)</f>
        <v>244</v>
      </c>
      <c r="I124" s="14" t="n">
        <f aca="false">IFERROR($H124/$E124,0)</f>
        <v>0.379872960518122</v>
      </c>
      <c r="J124" s="13" t="n">
        <f aca="false">$F124/$P$1*$R$1</f>
        <v>116964</v>
      </c>
      <c r="K124" s="12" t="n">
        <f aca="false">$H124/$P$1*$R$1</f>
        <v>2440</v>
      </c>
      <c r="L124" s="21" t="n">
        <f aca="false">IF((($E124-$H124)/($R$1-$P$1))&lt;0,0,($E124-$H124)/($R$1-$P$1))</f>
        <v>14.7525925925926</v>
      </c>
      <c r="M124" s="13" t="n">
        <f aca="false">IF((($D124-$F124)/($R$1-$P$1))&lt;0,0,($D124-$F124)/($R$1-$P$1))</f>
        <v>693.476859259259</v>
      </c>
    </row>
    <row r="125" customFormat="false" ht="18.75" hidden="false" customHeight="true" outlineLevel="0" collapsed="false">
      <c r="A125" s="5" t="s">
        <v>31</v>
      </c>
      <c r="B125" s="9" t="s">
        <v>13</v>
      </c>
      <c r="C125" s="8" t="n">
        <f aca="false">IF(ISNUMBER(INDEX('METAS E PESOS'!$D$3:$N$17,MATCH($A125,'METAS E PESOS'!$A$3:$A$17,0),MATCH($B125,'METAS E PESOS'!$D$2:$N$2,0))),INDEX('METAS E PESOS'!$D$3:$N$17,MATCH($A125,'METAS E PESOS'!$A$3:$A$17,0),MATCH($B125,'METAS E PESOS'!$D$2:$N$2,0)),0)</f>
        <v>0.0669</v>
      </c>
      <c r="D125" s="7" t="n">
        <f aca="false">INDEX('METAS E PESOS'!$C$3:$C$17,MATCH($A125,'METAS E PESOS'!$A$3:$A$17,0))*$C125</f>
        <v>8871.4752</v>
      </c>
      <c r="E125" s="22" t="n">
        <f aca="false">INDEX('METAS E PESOS'!$B$3:$B$17,MATCH($A125,'METAS E PESOS'!$A$3:$A$17,0))*$C125</f>
        <v>187.32</v>
      </c>
      <c r="F125" s="7" t="n">
        <f aca="false">SUMIFS(BASE_VENDAS!$E$2:$E$125,BASE_VENDAS!$A$2:$A$125,$A125,BASE_VENDAS!$C$2:$C$125,$B125)</f>
        <v>929.23</v>
      </c>
      <c r="G125" s="8" t="n">
        <f aca="false">IFERROR($F125/$D125,0)</f>
        <v>0.104743571846991</v>
      </c>
      <c r="H125" s="6" t="n">
        <f aca="false">SUMIFS(BASE_VENDAS!$D$2:$D$125,BASE_VENDAS!$A$2:$A$125,$A125,BASE_VENDAS!$C$2:$C$125,$B125)</f>
        <v>20</v>
      </c>
      <c r="I125" s="8" t="n">
        <f aca="false">IFERROR($H125/$E125,0)</f>
        <v>0.106769165065129</v>
      </c>
      <c r="J125" s="7" t="n">
        <f aca="false">$F125/$P$1*$R$1</f>
        <v>9292.3</v>
      </c>
      <c r="K125" s="6" t="n">
        <f aca="false">$H125/$P$1*$R$1</f>
        <v>200</v>
      </c>
      <c r="L125" s="22" t="n">
        <f aca="false">IF((($E125-$H125)/($R$1-$P$1))&lt;0,0,($E125-$H125)/($R$1-$P$1))</f>
        <v>6.19703703703704</v>
      </c>
      <c r="M125" s="7" t="n">
        <f aca="false">IF((($D125-$F125)/($R$1-$P$1))&lt;0,0,($D125-$F125)/($R$1-$P$1))</f>
        <v>294.15722962963</v>
      </c>
    </row>
    <row r="126" customFormat="false" ht="18.75" hidden="false" customHeight="true" outlineLevel="0" collapsed="false">
      <c r="A126" s="11" t="s">
        <v>31</v>
      </c>
      <c r="B126" s="16" t="s">
        <v>14</v>
      </c>
      <c r="C126" s="14" t="n">
        <f aca="false">IF(ISNUMBER(INDEX('METAS E PESOS'!$D$3:$N$17,MATCH($A126,'METAS E PESOS'!$A$3:$A$17,0),MATCH($B126,'METAS E PESOS'!$D$2:$N$2,0))),INDEX('METAS E PESOS'!$D$3:$N$17,MATCH($A126,'METAS E PESOS'!$A$3:$A$17,0),MATCH($B126,'METAS E PESOS'!$D$2:$N$2,0)),0)</f>
        <v>0.0646</v>
      </c>
      <c r="D126" s="13" t="n">
        <f aca="false">INDEX('METAS E PESOS'!$C$3:$C$17,MATCH($A126,'METAS E PESOS'!$A$3:$A$17,0))*$C126</f>
        <v>8566.4768</v>
      </c>
      <c r="E126" s="21" t="n">
        <f aca="false">INDEX('METAS E PESOS'!$B$3:$B$17,MATCH($A126,'METAS E PESOS'!$A$3:$A$17,0))*$C126</f>
        <v>180.88</v>
      </c>
      <c r="F126" s="13" t="n">
        <f aca="false">SUMIFS(BASE_VENDAS!$E$2:$E$125,BASE_VENDAS!$A$2:$A$125,$A126,BASE_VENDAS!$C$2:$C$125,$B126)</f>
        <v>1750.17</v>
      </c>
      <c r="G126" s="14" t="n">
        <f aca="false">IFERROR($F126/$D126,0)</f>
        <v>0.204304528087907</v>
      </c>
      <c r="H126" s="12" t="n">
        <f aca="false">SUMIFS(BASE_VENDAS!$D$2:$D$125,BASE_VENDAS!$A$2:$A$125,$A126,BASE_VENDAS!$C$2:$C$125,$B126)</f>
        <v>36</v>
      </c>
      <c r="I126" s="14" t="n">
        <f aca="false">IFERROR($H126/$E126,0)</f>
        <v>0.199026979212738</v>
      </c>
      <c r="J126" s="13" t="n">
        <f aca="false">$F126/$P$1*$R$1</f>
        <v>17501.7</v>
      </c>
      <c r="K126" s="12" t="n">
        <f aca="false">$H126/$P$1*$R$1</f>
        <v>360</v>
      </c>
      <c r="L126" s="21" t="n">
        <f aca="false">IF((($E126-$H126)/($R$1-$P$1))&lt;0,0,($E126-$H126)/($R$1-$P$1))</f>
        <v>5.36592592592593</v>
      </c>
      <c r="M126" s="13" t="n">
        <f aca="false">IF((($D126-$F126)/($R$1-$P$1))&lt;0,0,($D126-$F126)/($R$1-$P$1))</f>
        <v>252.455807407407</v>
      </c>
    </row>
    <row r="127" customFormat="false" ht="18.75" hidden="false" customHeight="true" outlineLevel="0" collapsed="false">
      <c r="A127" s="5" t="s">
        <v>31</v>
      </c>
      <c r="B127" s="9" t="s">
        <v>15</v>
      </c>
      <c r="C127" s="8" t="n">
        <f aca="false">IF(ISNUMBER(INDEX('METAS E PESOS'!$D$3:$N$17,MATCH($A127,'METAS E PESOS'!$A$3:$A$17,0),MATCH($B127,'METAS E PESOS'!$D$2:$N$2,0))),INDEX('METAS E PESOS'!$D$3:$N$17,MATCH($A127,'METAS E PESOS'!$A$3:$A$17,0),MATCH($B127,'METAS E PESOS'!$D$2:$N$2,0)),0)</f>
        <v>0.0884</v>
      </c>
      <c r="D127" s="7" t="n">
        <f aca="false">INDEX('METAS E PESOS'!$C$3:$C$17,MATCH($A127,'METAS E PESOS'!$A$3:$A$17,0))*$C127</f>
        <v>11722.5472</v>
      </c>
      <c r="E127" s="22" t="n">
        <f aca="false">INDEX('METAS E PESOS'!$B$3:$B$17,MATCH($A127,'METAS E PESOS'!$A$3:$A$17,0))*$C127</f>
        <v>247.52</v>
      </c>
      <c r="F127" s="7" t="n">
        <f aca="false">SUMIFS(BASE_VENDAS!$E$2:$E$125,BASE_VENDAS!$A$2:$A$125,$A127,BASE_VENDAS!$C$2:$C$125,$B127)</f>
        <v>5506.94</v>
      </c>
      <c r="G127" s="8" t="n">
        <f aca="false">IFERROR($F127/$D127,0)</f>
        <v>0.469773327080312</v>
      </c>
      <c r="H127" s="6" t="n">
        <f aca="false">SUMIFS(BASE_VENDAS!$D$2:$D$125,BASE_VENDAS!$A$2:$A$125,$A127,BASE_VENDAS!$C$2:$C$125,$B127)</f>
        <v>124</v>
      </c>
      <c r="I127" s="8" t="n">
        <f aca="false">IFERROR($H127/$E127,0)</f>
        <v>0.500969618616677</v>
      </c>
      <c r="J127" s="7" t="n">
        <f aca="false">$F127/$P$1*$R$1</f>
        <v>55069.4</v>
      </c>
      <c r="K127" s="6" t="n">
        <f aca="false">$H127/$P$1*$R$1</f>
        <v>1240</v>
      </c>
      <c r="L127" s="22" t="n">
        <f aca="false">IF((($E127-$H127)/($R$1-$P$1))&lt;0,0,($E127-$H127)/($R$1-$P$1))</f>
        <v>4.57481481481482</v>
      </c>
      <c r="M127" s="7" t="n">
        <f aca="false">IF((($D127-$F127)/($R$1-$P$1))&lt;0,0,($D127-$F127)/($R$1-$P$1))</f>
        <v>230.207674074074</v>
      </c>
    </row>
    <row r="128" customFormat="false" ht="18.75" hidden="false" customHeight="true" outlineLevel="0" collapsed="false">
      <c r="A128" s="11" t="s">
        <v>32</v>
      </c>
      <c r="B128" s="16" t="s">
        <v>7</v>
      </c>
      <c r="C128" s="14" t="n">
        <f aca="false">IF(ISNUMBER(INDEX('METAS E PESOS'!$D$3:$N$17,MATCH($A128,'METAS E PESOS'!$A$3:$A$17,0),MATCH($B128,'METAS E PESOS'!$D$2:$N$2,0))),INDEX('METAS E PESOS'!$D$3:$N$17,MATCH($A128,'METAS E PESOS'!$A$3:$A$17,0),MATCH($B128,'METAS E PESOS'!$D$2:$N$2,0)),0)</f>
        <v>0.1911</v>
      </c>
      <c r="D128" s="13" t="n">
        <f aca="false">INDEX('METAS E PESOS'!$C$3:$C$17,MATCH($A128,'METAS E PESOS'!$A$3:$A$17,0))*$C128</f>
        <v>7330.90176</v>
      </c>
      <c r="E128" s="21" t="n">
        <f aca="false">INDEX('METAS E PESOS'!$B$3:$B$17,MATCH($A128,'METAS E PESOS'!$A$3:$A$17,0))*$C128</f>
        <v>114.66</v>
      </c>
      <c r="F128" s="13" t="n">
        <f aca="false">SUMIFS(BASE_VENDAS!$E$2:$E$125,BASE_VENDAS!$A$2:$A$125,$A128,BASE_VENDAS!$C$2:$C$125,$B128)</f>
        <v>5813.84</v>
      </c>
      <c r="G128" s="14" t="n">
        <f aca="false">IFERROR($F128/$D128,0)</f>
        <v>0.793059324805357</v>
      </c>
      <c r="H128" s="12" t="n">
        <f aca="false">SUMIFS(BASE_VENDAS!$D$2:$D$125,BASE_VENDAS!$A$2:$A$125,$A128,BASE_VENDAS!$C$2:$C$125,$B128)</f>
        <v>88</v>
      </c>
      <c r="I128" s="14" t="n">
        <f aca="false">IFERROR($H128/$E128,0)</f>
        <v>0.767486481772196</v>
      </c>
      <c r="J128" s="13" t="n">
        <f aca="false">$F128/$P$1*$R$1</f>
        <v>58138.4</v>
      </c>
      <c r="K128" s="12" t="n">
        <f aca="false">$H128/$P$1*$R$1</f>
        <v>880</v>
      </c>
      <c r="L128" s="21" t="n">
        <f aca="false">IF((($E128-$H128)/($R$1-$P$1))&lt;0,0,($E128-$H128)/($R$1-$P$1))</f>
        <v>0.987407407407407</v>
      </c>
      <c r="M128" s="13" t="n">
        <f aca="false">IF((($D128-$F128)/($R$1-$P$1))&lt;0,0,($D128-$F128)/($R$1-$P$1))</f>
        <v>56.1874725925926</v>
      </c>
    </row>
    <row r="129" customFormat="false" ht="18.75" hidden="false" customHeight="true" outlineLevel="0" collapsed="false">
      <c r="A129" s="5" t="s">
        <v>32</v>
      </c>
      <c r="B129" s="9" t="s">
        <v>9</v>
      </c>
      <c r="C129" s="8" t="n">
        <f aca="false">IF(ISNUMBER(INDEX('METAS E PESOS'!$D$3:$N$17,MATCH($A129,'METAS E PESOS'!$A$3:$A$17,0),MATCH($B129,'METAS E PESOS'!$D$2:$N$2,0))),INDEX('METAS E PESOS'!$D$3:$N$17,MATCH($A129,'METAS E PESOS'!$A$3:$A$17,0),MATCH($B129,'METAS E PESOS'!$D$2:$N$2,0)),0)</f>
        <v>0.1911</v>
      </c>
      <c r="D129" s="7" t="n">
        <f aca="false">INDEX('METAS E PESOS'!$C$3:$C$17,MATCH($A129,'METAS E PESOS'!$A$3:$A$17,0))*$C129</f>
        <v>7330.90176</v>
      </c>
      <c r="E129" s="22" t="n">
        <f aca="false">INDEX('METAS E PESOS'!$B$3:$B$17,MATCH($A129,'METAS E PESOS'!$A$3:$A$17,0))*$C129</f>
        <v>114.66</v>
      </c>
      <c r="F129" s="7" t="n">
        <f aca="false">SUMIFS(BASE_VENDAS!$E$2:$E$125,BASE_VENDAS!$A$2:$A$125,$A129,BASE_VENDAS!$C$2:$C$125,$B129)</f>
        <v>3773.77</v>
      </c>
      <c r="G129" s="8" t="n">
        <f aca="false">IFERROR($F129/$D129,0)</f>
        <v>0.5147756883868</v>
      </c>
      <c r="H129" s="6" t="n">
        <f aca="false">SUMIFS(BASE_VENDAS!$D$2:$D$125,BASE_VENDAS!$A$2:$A$125,$A129,BASE_VENDAS!$C$2:$C$125,$B129)</f>
        <v>52</v>
      </c>
      <c r="I129" s="8" t="n">
        <f aca="false">IFERROR($H129/$E129,0)</f>
        <v>0.453514739229025</v>
      </c>
      <c r="J129" s="7" t="n">
        <f aca="false">$F129/$P$1*$R$1</f>
        <v>37737.7</v>
      </c>
      <c r="K129" s="6" t="n">
        <f aca="false">$H129/$P$1*$R$1</f>
        <v>520</v>
      </c>
      <c r="L129" s="22" t="n">
        <f aca="false">IF((($E129-$H129)/($R$1-$P$1))&lt;0,0,($E129-$H129)/($R$1-$P$1))</f>
        <v>2.32074074074074</v>
      </c>
      <c r="M129" s="7" t="n">
        <f aca="false">IF((($D129-$F129)/($R$1-$P$1))&lt;0,0,($D129-$F129)/($R$1-$P$1))</f>
        <v>131.745620740741</v>
      </c>
    </row>
    <row r="130" customFormat="false" ht="18.75" hidden="false" customHeight="true" outlineLevel="0" collapsed="false">
      <c r="A130" s="11" t="s">
        <v>32</v>
      </c>
      <c r="B130" s="16" t="s">
        <v>10</v>
      </c>
      <c r="C130" s="14" t="n">
        <f aca="false">IF(ISNUMBER(INDEX('METAS E PESOS'!$D$3:$N$17,MATCH($A130,'METAS E PESOS'!$A$3:$A$17,0),MATCH($B130,'METAS E PESOS'!$D$2:$N$2,0))),INDEX('METAS E PESOS'!$D$3:$N$17,MATCH($A130,'METAS E PESOS'!$A$3:$A$17,0),MATCH($B130,'METAS E PESOS'!$D$2:$N$2,0)),0)</f>
        <v>0.09555</v>
      </c>
      <c r="D130" s="13" t="n">
        <f aca="false">INDEX('METAS E PESOS'!$C$3:$C$17,MATCH($A130,'METAS E PESOS'!$A$3:$A$17,0))*$C130</f>
        <v>3665.45088</v>
      </c>
      <c r="E130" s="21" t="n">
        <f aca="false">INDEX('METAS E PESOS'!$B$3:$B$17,MATCH($A130,'METAS E PESOS'!$A$3:$A$17,0))*$C130</f>
        <v>57.33</v>
      </c>
      <c r="F130" s="13" t="n">
        <f aca="false">SUMIFS(BASE_VENDAS!$E$2:$E$125,BASE_VENDAS!$A$2:$A$125,$A130,BASE_VENDAS!$C$2:$C$125,$B130)</f>
        <v>589.67</v>
      </c>
      <c r="G130" s="14" t="n">
        <f aca="false">IFERROR($F130/$D130,0)</f>
        <v>0.16087243269783</v>
      </c>
      <c r="H130" s="12" t="n">
        <f aca="false">SUMIFS(BASE_VENDAS!$D$2:$D$125,BASE_VENDAS!$A$2:$A$125,$A130,BASE_VENDAS!$C$2:$C$125,$B130)</f>
        <v>12</v>
      </c>
      <c r="I130" s="14" t="n">
        <f aca="false">IFERROR($H130/$E130,0)</f>
        <v>0.209314495028781</v>
      </c>
      <c r="J130" s="13" t="n">
        <f aca="false">$F130/$P$1*$R$1</f>
        <v>5896.7</v>
      </c>
      <c r="K130" s="12" t="n">
        <f aca="false">$H130/$P$1*$R$1</f>
        <v>120</v>
      </c>
      <c r="L130" s="21" t="n">
        <f aca="false">IF((($E130-$H130)/($R$1-$P$1))&lt;0,0,($E130-$H130)/($R$1-$P$1))</f>
        <v>1.67888888888889</v>
      </c>
      <c r="M130" s="13" t="n">
        <f aca="false">IF((($D130-$F130)/($R$1-$P$1))&lt;0,0,($D130-$F130)/($R$1-$P$1))</f>
        <v>113.91781037037</v>
      </c>
    </row>
    <row r="131" customFormat="false" ht="18.75" hidden="false" customHeight="true" outlineLevel="0" collapsed="false">
      <c r="A131" s="5" t="s">
        <v>32</v>
      </c>
      <c r="B131" s="9" t="s">
        <v>12</v>
      </c>
      <c r="C131" s="8" t="n">
        <f aca="false">IF(ISNUMBER(INDEX('METAS E PESOS'!$D$3:$N$17,MATCH($A131,'METAS E PESOS'!$A$3:$A$17,0),MATCH($B131,'METAS E PESOS'!$D$2:$N$2,0))),INDEX('METAS E PESOS'!$D$3:$N$17,MATCH($A131,'METAS E PESOS'!$A$3:$A$17,0),MATCH($B131,'METAS E PESOS'!$D$2:$N$2,0)),0)</f>
        <v>0.2133</v>
      </c>
      <c r="D131" s="7" t="n">
        <f aca="false">INDEX('METAS E PESOS'!$C$3:$C$17,MATCH($A131,'METAS E PESOS'!$A$3:$A$17,0))*$C131</f>
        <v>8182.52928</v>
      </c>
      <c r="E131" s="22" t="n">
        <f aca="false">INDEX('METAS E PESOS'!$B$3:$B$17,MATCH($A131,'METAS E PESOS'!$A$3:$A$17,0))*$C131</f>
        <v>127.98</v>
      </c>
      <c r="F131" s="7" t="n">
        <f aca="false">SUMIFS(BASE_VENDAS!$E$2:$E$125,BASE_VENDAS!$A$2:$A$125,$A131,BASE_VENDAS!$C$2:$C$125,$B131)</f>
        <v>6443.52</v>
      </c>
      <c r="G131" s="8" t="n">
        <f aca="false">IFERROR($F131/$D131,0)</f>
        <v>0.787472892489301</v>
      </c>
      <c r="H131" s="6" t="n">
        <f aca="false">SUMIFS(BASE_VENDAS!$D$2:$D$125,BASE_VENDAS!$A$2:$A$125,$A131,BASE_VENDAS!$C$2:$C$125,$B131)</f>
        <v>86</v>
      </c>
      <c r="I131" s="8" t="n">
        <f aca="false">IFERROR($H131/$E131,0)</f>
        <v>0.671979996874512</v>
      </c>
      <c r="J131" s="7" t="n">
        <f aca="false">$F131/$P$1*$R$1</f>
        <v>64435.2</v>
      </c>
      <c r="K131" s="6" t="n">
        <f aca="false">$H131/$P$1*$R$1</f>
        <v>860</v>
      </c>
      <c r="L131" s="22" t="n">
        <f aca="false">IF((($E131-$H131)/($R$1-$P$1))&lt;0,0,($E131-$H131)/($R$1-$P$1))</f>
        <v>1.55481481481481</v>
      </c>
      <c r="M131" s="7" t="n">
        <f aca="false">IF((($D131-$F131)/($R$1-$P$1))&lt;0,0,($D131-$F131)/($R$1-$P$1))</f>
        <v>64.4077511111111</v>
      </c>
    </row>
    <row r="132" customFormat="false" ht="18.75" hidden="false" customHeight="true" outlineLevel="0" collapsed="false">
      <c r="A132" s="11" t="s">
        <v>32</v>
      </c>
      <c r="B132" s="16" t="s">
        <v>15</v>
      </c>
      <c r="C132" s="14" t="n">
        <f aca="false">IF(ISNUMBER(INDEX('METAS E PESOS'!$D$3:$N$17,MATCH($A132,'METAS E PESOS'!$A$3:$A$17,0),MATCH($B132,'METAS E PESOS'!$D$2:$N$2,0))),INDEX('METAS E PESOS'!$D$3:$N$17,MATCH($A132,'METAS E PESOS'!$A$3:$A$17,0),MATCH($B132,'METAS E PESOS'!$D$2:$N$2,0)),0)</f>
        <v>0.2133</v>
      </c>
      <c r="D132" s="13" t="n">
        <f aca="false">INDEX('METAS E PESOS'!$C$3:$C$17,MATCH($A132,'METAS E PESOS'!$A$3:$A$17,0))*$C132</f>
        <v>8182.52928</v>
      </c>
      <c r="E132" s="21" t="n">
        <f aca="false">INDEX('METAS E PESOS'!$B$3:$B$17,MATCH($A132,'METAS E PESOS'!$A$3:$A$17,0))*$C132</f>
        <v>127.98</v>
      </c>
      <c r="F132" s="13" t="n">
        <f aca="false">SUMIFS(BASE_VENDAS!$E$2:$E$125,BASE_VENDAS!$A$2:$A$125,$A132,BASE_VENDAS!$C$2:$C$125,$B132)</f>
        <v>7967.77</v>
      </c>
      <c r="G132" s="14" t="n">
        <f aca="false">IFERROR($F132/$D132,0)</f>
        <v>0.973753924654456</v>
      </c>
      <c r="H132" s="12" t="n">
        <f aca="false">SUMIFS(BASE_VENDAS!$D$2:$D$125,BASE_VENDAS!$A$2:$A$125,$A132,BASE_VENDAS!$C$2:$C$125,$B132)</f>
        <v>120</v>
      </c>
      <c r="I132" s="14" t="n">
        <f aca="false">IFERROR($H132/$E132,0)</f>
        <v>0.937646507266761</v>
      </c>
      <c r="J132" s="13" t="n">
        <f aca="false">$F132/$P$1*$R$1</f>
        <v>79677.7</v>
      </c>
      <c r="K132" s="12" t="n">
        <f aca="false">$H132/$P$1*$R$1</f>
        <v>1200</v>
      </c>
      <c r="L132" s="21" t="n">
        <f aca="false">IF((($E132-$H132)/($R$1-$P$1))&lt;0,0,($E132-$H132)/($R$1-$P$1))</f>
        <v>0.295555555555555</v>
      </c>
      <c r="M132" s="13" t="n">
        <f aca="false">IF((($D132-$F132)/($R$1-$P$1))&lt;0,0,($D132-$F132)/($R$1-$P$1))</f>
        <v>7.95404740740738</v>
      </c>
    </row>
    <row r="133" customFormat="false" ht="18.75" hidden="false" customHeight="true" outlineLevel="0" collapsed="false">
      <c r="A133" s="5" t="s">
        <v>32</v>
      </c>
      <c r="B133" s="9" t="s">
        <v>13</v>
      </c>
      <c r="C133" s="8" t="n">
        <f aca="false">IF(ISNUMBER(INDEX('METAS E PESOS'!$D$3:$N$17,MATCH($A133,'METAS E PESOS'!$A$3:$A$17,0),MATCH($B133,'METAS E PESOS'!$D$2:$N$2,0))),INDEX('METAS E PESOS'!$D$3:$N$17,MATCH($A133,'METAS E PESOS'!$A$3:$A$17,0),MATCH($B133,'METAS E PESOS'!$D$2:$N$2,0)),0)</f>
        <v>0.09555</v>
      </c>
      <c r="D133" s="7" t="n">
        <f aca="false">INDEX('METAS E PESOS'!$C$3:$C$17,MATCH($A133,'METAS E PESOS'!$A$3:$A$17,0))*$C133</f>
        <v>3665.45088</v>
      </c>
      <c r="E133" s="22" t="n">
        <f aca="false">INDEX('METAS E PESOS'!$B$3:$B$17,MATCH($A133,'METAS E PESOS'!$A$3:$A$17,0))*$C133</f>
        <v>57.33</v>
      </c>
      <c r="F133" s="7" t="n">
        <f aca="false">SUMIFS(BASE_VENDAS!$E$2:$E$125,BASE_VENDAS!$A$2:$A$125,$A133,BASE_VENDAS!$C$2:$C$125,$B133)</f>
        <v>1533.22</v>
      </c>
      <c r="G133" s="8" t="n">
        <f aca="false">IFERROR($F133/$D133,0)</f>
        <v>0.418289604797541</v>
      </c>
      <c r="H133" s="6" t="n">
        <f aca="false">SUMIFS(BASE_VENDAS!$D$2:$D$125,BASE_VENDAS!$A$2:$A$125,$A133,BASE_VENDAS!$C$2:$C$125,$B133)</f>
        <v>22</v>
      </c>
      <c r="I133" s="8" t="n">
        <f aca="false">IFERROR($H133/$E133,0)</f>
        <v>0.383743240886098</v>
      </c>
      <c r="J133" s="7" t="n">
        <f aca="false">$F133/$P$1*$R$1</f>
        <v>15332.2</v>
      </c>
      <c r="K133" s="6" t="n">
        <f aca="false">$H133/$P$1*$R$1</f>
        <v>220</v>
      </c>
      <c r="L133" s="22" t="n">
        <f aca="false">IF((($E133-$H133)/($R$1-$P$1))&lt;0,0,($E133-$H133)/($R$1-$P$1))</f>
        <v>1.30851851851852</v>
      </c>
      <c r="M133" s="7" t="n">
        <f aca="false">IF((($D133-$F133)/($R$1-$P$1))&lt;0,0,($D133-$F133)/($R$1-$P$1))</f>
        <v>78.9715140740741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5"/>
  </cols>
  <sheetData>
    <row r="1" customFormat="false" ht="21.75" hidden="false" customHeight="true" outlineLevel="0" collapsed="false">
      <c r="A1" s="2" t="s">
        <v>2</v>
      </c>
      <c r="B1" s="4" t="s">
        <v>53</v>
      </c>
      <c r="C1" s="2" t="s">
        <v>35</v>
      </c>
      <c r="D1" s="3" t="s">
        <v>54</v>
      </c>
      <c r="E1" s="3" t="s">
        <v>55</v>
      </c>
    </row>
    <row r="2" customFormat="false" ht="18.75" hidden="false" customHeight="true" outlineLevel="0" collapsed="false">
      <c r="A2" s="11" t="s">
        <v>28</v>
      </c>
      <c r="B2" s="16" t="n">
        <v>101</v>
      </c>
      <c r="C2" s="16" t="s">
        <v>12</v>
      </c>
      <c r="D2" s="12" t="n">
        <v>524</v>
      </c>
      <c r="E2" s="13" t="n">
        <v>13586.69</v>
      </c>
    </row>
    <row r="3" customFormat="false" ht="18.75" hidden="false" customHeight="true" outlineLevel="0" collapsed="false">
      <c r="A3" s="5" t="s">
        <v>28</v>
      </c>
      <c r="B3" s="9" t="n">
        <v>104</v>
      </c>
      <c r="C3" s="9" t="s">
        <v>7</v>
      </c>
      <c r="D3" s="6" t="n">
        <v>282</v>
      </c>
      <c r="E3" s="7" t="n">
        <v>7515.78</v>
      </c>
    </row>
    <row r="4" customFormat="false" ht="18.75" hidden="false" customHeight="true" outlineLevel="0" collapsed="false">
      <c r="A4" s="11" t="s">
        <v>28</v>
      </c>
      <c r="B4" s="16" t="n">
        <v>111</v>
      </c>
      <c r="C4" s="16" t="s">
        <v>15</v>
      </c>
      <c r="D4" s="12" t="n">
        <v>262</v>
      </c>
      <c r="E4" s="13" t="n">
        <v>7074.85</v>
      </c>
    </row>
    <row r="5" customFormat="false" ht="18.75" hidden="false" customHeight="true" outlineLevel="0" collapsed="false">
      <c r="A5" s="5" t="s">
        <v>28</v>
      </c>
      <c r="B5" s="9" t="n">
        <v>109</v>
      </c>
      <c r="C5" s="9" t="s">
        <v>9</v>
      </c>
      <c r="D5" s="6" t="n">
        <v>136</v>
      </c>
      <c r="E5" s="7" t="n">
        <v>3645.32</v>
      </c>
    </row>
    <row r="6" customFormat="false" ht="18.75" hidden="false" customHeight="true" outlineLevel="0" collapsed="false">
      <c r="A6" s="11" t="s">
        <v>28</v>
      </c>
      <c r="B6" s="16" t="n">
        <v>110</v>
      </c>
      <c r="C6" s="16" t="s">
        <v>6</v>
      </c>
      <c r="D6" s="12" t="n">
        <v>108</v>
      </c>
      <c r="E6" s="13" t="n">
        <v>2520.73</v>
      </c>
    </row>
    <row r="7" customFormat="false" ht="18.75" hidden="false" customHeight="true" outlineLevel="0" collapsed="false">
      <c r="A7" s="5" t="s">
        <v>28</v>
      </c>
      <c r="B7" s="9" t="n">
        <v>105</v>
      </c>
      <c r="C7" s="9" t="s">
        <v>10</v>
      </c>
      <c r="D7" s="6" t="n">
        <v>30</v>
      </c>
      <c r="E7" s="7" t="n">
        <v>744.47</v>
      </c>
    </row>
    <row r="8" customFormat="false" ht="18.75" hidden="false" customHeight="true" outlineLevel="0" collapsed="false">
      <c r="A8" s="11" t="s">
        <v>28</v>
      </c>
      <c r="B8" s="16" t="n">
        <v>107</v>
      </c>
      <c r="C8" s="16" t="s">
        <v>14</v>
      </c>
      <c r="D8" s="12" t="n">
        <v>48</v>
      </c>
      <c r="E8" s="13" t="n">
        <v>1167.08</v>
      </c>
    </row>
    <row r="9" customFormat="false" ht="18.75" hidden="false" customHeight="true" outlineLevel="0" collapsed="false">
      <c r="A9" s="5" t="s">
        <v>28</v>
      </c>
      <c r="B9" s="9" t="n">
        <v>106</v>
      </c>
      <c r="C9" s="9" t="s">
        <v>11</v>
      </c>
      <c r="D9" s="6" t="n">
        <v>36</v>
      </c>
      <c r="E9" s="7" t="n">
        <v>963.92</v>
      </c>
    </row>
    <row r="10" customFormat="false" ht="18.75" hidden="false" customHeight="true" outlineLevel="0" collapsed="false">
      <c r="A10" s="11" t="s">
        <v>17</v>
      </c>
      <c r="B10" s="16" t="n">
        <v>101</v>
      </c>
      <c r="C10" s="16" t="s">
        <v>12</v>
      </c>
      <c r="D10" s="12" t="n">
        <v>90</v>
      </c>
      <c r="E10" s="13" t="n">
        <v>1872</v>
      </c>
    </row>
    <row r="11" customFormat="false" ht="18.75" hidden="false" customHeight="true" outlineLevel="0" collapsed="false">
      <c r="A11" s="5" t="s">
        <v>17</v>
      </c>
      <c r="B11" s="9" t="n">
        <v>104</v>
      </c>
      <c r="C11" s="9" t="s">
        <v>7</v>
      </c>
      <c r="D11" s="6" t="n">
        <v>76</v>
      </c>
      <c r="E11" s="7" t="n">
        <v>1508.31</v>
      </c>
    </row>
    <row r="12" customFormat="false" ht="18.75" hidden="false" customHeight="true" outlineLevel="0" collapsed="false">
      <c r="A12" s="11" t="s">
        <v>17</v>
      </c>
      <c r="B12" s="16" t="n">
        <v>105</v>
      </c>
      <c r="C12" s="16" t="s">
        <v>10</v>
      </c>
      <c r="D12" s="12" t="n">
        <v>86</v>
      </c>
      <c r="E12" s="13" t="n">
        <v>1778.68</v>
      </c>
    </row>
    <row r="13" customFormat="false" ht="18.75" hidden="false" customHeight="true" outlineLevel="0" collapsed="false">
      <c r="A13" s="5" t="s">
        <v>17</v>
      </c>
      <c r="B13" s="9" t="n">
        <v>108</v>
      </c>
      <c r="C13" s="9" t="s">
        <v>8</v>
      </c>
      <c r="D13" s="6" t="n">
        <v>96</v>
      </c>
      <c r="E13" s="7" t="n">
        <v>1787.2</v>
      </c>
    </row>
    <row r="14" customFormat="false" ht="18.75" hidden="false" customHeight="true" outlineLevel="0" collapsed="false">
      <c r="A14" s="11" t="s">
        <v>17</v>
      </c>
      <c r="B14" s="16" t="n">
        <v>110</v>
      </c>
      <c r="C14" s="16" t="s">
        <v>6</v>
      </c>
      <c r="D14" s="12" t="n">
        <v>74</v>
      </c>
      <c r="E14" s="13" t="n">
        <v>1302.45</v>
      </c>
    </row>
    <row r="15" customFormat="false" ht="18.75" hidden="false" customHeight="true" outlineLevel="0" collapsed="false">
      <c r="A15" s="5" t="s">
        <v>17</v>
      </c>
      <c r="B15" s="9" t="n">
        <v>102</v>
      </c>
      <c r="C15" s="9" t="s">
        <v>5</v>
      </c>
      <c r="D15" s="6" t="n">
        <v>64</v>
      </c>
      <c r="E15" s="7" t="n">
        <v>1124.2</v>
      </c>
    </row>
    <row r="16" customFormat="false" ht="18.75" hidden="false" customHeight="true" outlineLevel="0" collapsed="false">
      <c r="A16" s="11" t="s">
        <v>17</v>
      </c>
      <c r="B16" s="16" t="n">
        <v>103</v>
      </c>
      <c r="C16" s="16" t="s">
        <v>13</v>
      </c>
      <c r="D16" s="12" t="n">
        <v>40</v>
      </c>
      <c r="E16" s="13" t="n">
        <v>867.84</v>
      </c>
    </row>
    <row r="17" customFormat="false" ht="18.75" hidden="false" customHeight="true" outlineLevel="0" collapsed="false">
      <c r="A17" s="5" t="s">
        <v>17</v>
      </c>
      <c r="B17" s="9" t="n">
        <v>109</v>
      </c>
      <c r="C17" s="9" t="s">
        <v>9</v>
      </c>
      <c r="D17" s="6" t="n">
        <v>44</v>
      </c>
      <c r="E17" s="7" t="n">
        <v>769.16</v>
      </c>
    </row>
    <row r="18" customFormat="false" ht="18.75" hidden="false" customHeight="true" outlineLevel="0" collapsed="false">
      <c r="A18" s="11" t="s">
        <v>17</v>
      </c>
      <c r="B18" s="16" t="n">
        <v>111</v>
      </c>
      <c r="C18" s="16" t="s">
        <v>15</v>
      </c>
      <c r="D18" s="12" t="n">
        <v>32</v>
      </c>
      <c r="E18" s="13" t="n">
        <v>686.59</v>
      </c>
    </row>
    <row r="19" customFormat="false" ht="18.75" hidden="false" customHeight="true" outlineLevel="0" collapsed="false">
      <c r="A19" s="5" t="s">
        <v>17</v>
      </c>
      <c r="B19" s="9" t="n">
        <v>106</v>
      </c>
      <c r="C19" s="9" t="s">
        <v>11</v>
      </c>
      <c r="D19" s="6" t="n">
        <v>36</v>
      </c>
      <c r="E19" s="7" t="n">
        <v>623.83</v>
      </c>
    </row>
    <row r="20" customFormat="false" ht="18.75" hidden="false" customHeight="true" outlineLevel="0" collapsed="false">
      <c r="A20" s="11" t="s">
        <v>17</v>
      </c>
      <c r="B20" s="16" t="n">
        <v>107</v>
      </c>
      <c r="C20" s="16" t="s">
        <v>14</v>
      </c>
      <c r="D20" s="12" t="n">
        <v>26</v>
      </c>
      <c r="E20" s="13" t="n">
        <v>474.1</v>
      </c>
    </row>
    <row r="21" customFormat="false" ht="18.75" hidden="false" customHeight="true" outlineLevel="0" collapsed="false">
      <c r="A21" s="5" t="s">
        <v>19</v>
      </c>
      <c r="B21" s="9" t="n">
        <v>101</v>
      </c>
      <c r="C21" s="9" t="s">
        <v>12</v>
      </c>
      <c r="D21" s="6" t="n">
        <v>394</v>
      </c>
      <c r="E21" s="7" t="n">
        <v>11022.28</v>
      </c>
    </row>
    <row r="22" customFormat="false" ht="18.75" hidden="false" customHeight="true" outlineLevel="0" collapsed="false">
      <c r="A22" s="11" t="s">
        <v>19</v>
      </c>
      <c r="B22" s="16" t="n">
        <v>111</v>
      </c>
      <c r="C22" s="16" t="s">
        <v>15</v>
      </c>
      <c r="D22" s="12" t="n">
        <v>350</v>
      </c>
      <c r="E22" s="13" t="n">
        <v>9885.59</v>
      </c>
    </row>
    <row r="23" customFormat="false" ht="18.75" hidden="false" customHeight="true" outlineLevel="0" collapsed="false">
      <c r="A23" s="5" t="s">
        <v>19</v>
      </c>
      <c r="B23" s="9" t="n">
        <v>104</v>
      </c>
      <c r="C23" s="9" t="s">
        <v>7</v>
      </c>
      <c r="D23" s="6" t="n">
        <v>310</v>
      </c>
      <c r="E23" s="7" t="n">
        <v>8876.24</v>
      </c>
    </row>
    <row r="24" customFormat="false" ht="18.75" hidden="false" customHeight="true" outlineLevel="0" collapsed="false">
      <c r="A24" s="11" t="s">
        <v>19</v>
      </c>
      <c r="B24" s="16" t="n">
        <v>102</v>
      </c>
      <c r="C24" s="16" t="s">
        <v>5</v>
      </c>
      <c r="D24" s="12" t="n">
        <v>300</v>
      </c>
      <c r="E24" s="13" t="n">
        <v>8358</v>
      </c>
    </row>
    <row r="25" customFormat="false" ht="18.75" hidden="false" customHeight="true" outlineLevel="0" collapsed="false">
      <c r="A25" s="5" t="s">
        <v>19</v>
      </c>
      <c r="B25" s="9" t="n">
        <v>109</v>
      </c>
      <c r="C25" s="9" t="s">
        <v>9</v>
      </c>
      <c r="D25" s="6" t="n">
        <v>284</v>
      </c>
      <c r="E25" s="7" t="n">
        <v>8222.25</v>
      </c>
    </row>
    <row r="26" customFormat="false" ht="18.75" hidden="false" customHeight="true" outlineLevel="0" collapsed="false">
      <c r="A26" s="11" t="s">
        <v>19</v>
      </c>
      <c r="B26" s="16" t="n">
        <v>110</v>
      </c>
      <c r="C26" s="16" t="s">
        <v>6</v>
      </c>
      <c r="D26" s="12" t="n">
        <v>296</v>
      </c>
      <c r="E26" s="13" t="n">
        <v>7599.96</v>
      </c>
    </row>
    <row r="27" customFormat="false" ht="18.75" hidden="false" customHeight="true" outlineLevel="0" collapsed="false">
      <c r="A27" s="5" t="s">
        <v>19</v>
      </c>
      <c r="B27" s="9" t="n">
        <v>106</v>
      </c>
      <c r="C27" s="9" t="s">
        <v>11</v>
      </c>
      <c r="D27" s="6" t="n">
        <v>228</v>
      </c>
      <c r="E27" s="7" t="n">
        <v>6430.75</v>
      </c>
    </row>
    <row r="28" customFormat="false" ht="18.75" hidden="false" customHeight="true" outlineLevel="0" collapsed="false">
      <c r="A28" s="11" t="s">
        <v>19</v>
      </c>
      <c r="B28" s="16" t="n">
        <v>105</v>
      </c>
      <c r="C28" s="16" t="s">
        <v>10</v>
      </c>
      <c r="D28" s="12" t="n">
        <v>220</v>
      </c>
      <c r="E28" s="13" t="n">
        <v>6358.08</v>
      </c>
    </row>
    <row r="29" customFormat="false" ht="18.75" hidden="false" customHeight="true" outlineLevel="0" collapsed="false">
      <c r="A29" s="5" t="s">
        <v>19</v>
      </c>
      <c r="B29" s="9" t="n">
        <v>103</v>
      </c>
      <c r="C29" s="9" t="s">
        <v>13</v>
      </c>
      <c r="D29" s="6" t="n">
        <v>166</v>
      </c>
      <c r="E29" s="7" t="n">
        <v>4891.32</v>
      </c>
    </row>
    <row r="30" customFormat="false" ht="18.75" hidden="false" customHeight="true" outlineLevel="0" collapsed="false">
      <c r="A30" s="11" t="s">
        <v>19</v>
      </c>
      <c r="B30" s="16" t="n">
        <v>107</v>
      </c>
      <c r="C30" s="16" t="s">
        <v>14</v>
      </c>
      <c r="D30" s="12" t="n">
        <v>156</v>
      </c>
      <c r="E30" s="13" t="n">
        <v>4498.2</v>
      </c>
    </row>
    <row r="31" customFormat="false" ht="18.75" hidden="false" customHeight="true" outlineLevel="0" collapsed="false">
      <c r="A31" s="5" t="s">
        <v>19</v>
      </c>
      <c r="B31" s="9" t="n">
        <v>108</v>
      </c>
      <c r="C31" s="9" t="s">
        <v>8</v>
      </c>
      <c r="D31" s="6" t="n">
        <v>86</v>
      </c>
      <c r="E31" s="7" t="n">
        <v>2443.07</v>
      </c>
    </row>
    <row r="32" customFormat="false" ht="18.75" hidden="false" customHeight="true" outlineLevel="0" collapsed="false">
      <c r="A32" s="11" t="s">
        <v>18</v>
      </c>
      <c r="B32" s="16" t="n">
        <v>101</v>
      </c>
      <c r="C32" s="16" t="s">
        <v>12</v>
      </c>
      <c r="D32" s="12" t="n">
        <v>694</v>
      </c>
      <c r="E32" s="13" t="n">
        <v>24001.87</v>
      </c>
    </row>
    <row r="33" customFormat="false" ht="18.75" hidden="false" customHeight="true" outlineLevel="0" collapsed="false">
      <c r="A33" s="5" t="s">
        <v>18</v>
      </c>
      <c r="B33" s="9" t="n">
        <v>104</v>
      </c>
      <c r="C33" s="9" t="s">
        <v>7</v>
      </c>
      <c r="D33" s="6" t="n">
        <v>486</v>
      </c>
      <c r="E33" s="7" t="n">
        <v>20224.96</v>
      </c>
    </row>
    <row r="34" customFormat="false" ht="18.75" hidden="false" customHeight="true" outlineLevel="0" collapsed="false">
      <c r="A34" s="11" t="s">
        <v>18</v>
      </c>
      <c r="B34" s="16" t="n">
        <v>105</v>
      </c>
      <c r="C34" s="16" t="s">
        <v>10</v>
      </c>
      <c r="D34" s="12" t="n">
        <v>344</v>
      </c>
      <c r="E34" s="13" t="n">
        <v>15066.34</v>
      </c>
    </row>
    <row r="35" customFormat="false" ht="18.75" hidden="false" customHeight="true" outlineLevel="0" collapsed="false">
      <c r="A35" s="5" t="s">
        <v>18</v>
      </c>
      <c r="B35" s="9" t="n">
        <v>109</v>
      </c>
      <c r="C35" s="9" t="s">
        <v>9</v>
      </c>
      <c r="D35" s="6" t="n">
        <v>338</v>
      </c>
      <c r="E35" s="7" t="n">
        <v>12943.8</v>
      </c>
    </row>
    <row r="36" customFormat="false" ht="18.75" hidden="false" customHeight="true" outlineLevel="0" collapsed="false">
      <c r="A36" s="11" t="s">
        <v>18</v>
      </c>
      <c r="B36" s="16" t="n">
        <v>102</v>
      </c>
      <c r="C36" s="16" t="s">
        <v>5</v>
      </c>
      <c r="D36" s="12" t="n">
        <v>334</v>
      </c>
      <c r="E36" s="13" t="n">
        <v>12572.54</v>
      </c>
    </row>
    <row r="37" customFormat="false" ht="18.75" hidden="false" customHeight="true" outlineLevel="0" collapsed="false">
      <c r="A37" s="5" t="s">
        <v>18</v>
      </c>
      <c r="B37" s="9" t="n">
        <v>111</v>
      </c>
      <c r="C37" s="9" t="s">
        <v>15</v>
      </c>
      <c r="D37" s="6" t="n">
        <v>210</v>
      </c>
      <c r="E37" s="7" t="n">
        <v>8465.86</v>
      </c>
    </row>
    <row r="38" customFormat="false" ht="18.75" hidden="false" customHeight="true" outlineLevel="0" collapsed="false">
      <c r="A38" s="11" t="s">
        <v>18</v>
      </c>
      <c r="B38" s="16" t="n">
        <v>110</v>
      </c>
      <c r="C38" s="16" t="s">
        <v>6</v>
      </c>
      <c r="D38" s="12" t="n">
        <v>172</v>
      </c>
      <c r="E38" s="13" t="n">
        <v>7256.79</v>
      </c>
    </row>
    <row r="39" customFormat="false" ht="18.75" hidden="false" customHeight="true" outlineLevel="0" collapsed="false">
      <c r="A39" s="5" t="s">
        <v>18</v>
      </c>
      <c r="B39" s="9" t="n">
        <v>107</v>
      </c>
      <c r="C39" s="9" t="s">
        <v>14</v>
      </c>
      <c r="D39" s="6" t="n">
        <v>190</v>
      </c>
      <c r="E39" s="7" t="n">
        <v>7051.94</v>
      </c>
    </row>
    <row r="40" customFormat="false" ht="18.75" hidden="false" customHeight="true" outlineLevel="0" collapsed="false">
      <c r="A40" s="11" t="s">
        <v>18</v>
      </c>
      <c r="B40" s="16" t="n">
        <v>106</v>
      </c>
      <c r="C40" s="16" t="s">
        <v>11</v>
      </c>
      <c r="D40" s="12" t="n">
        <v>164</v>
      </c>
      <c r="E40" s="13" t="n">
        <v>6469.31</v>
      </c>
    </row>
    <row r="41" customFormat="false" ht="18.75" hidden="false" customHeight="true" outlineLevel="0" collapsed="false">
      <c r="A41" s="5" t="s">
        <v>18</v>
      </c>
      <c r="B41" s="9" t="n">
        <v>103</v>
      </c>
      <c r="C41" s="9" t="s">
        <v>13</v>
      </c>
      <c r="D41" s="6" t="n">
        <v>104</v>
      </c>
      <c r="E41" s="7" t="n">
        <v>3385.93</v>
      </c>
    </row>
    <row r="42" customFormat="false" ht="18.75" hidden="false" customHeight="true" outlineLevel="0" collapsed="false">
      <c r="A42" s="11" t="s">
        <v>18</v>
      </c>
      <c r="B42" s="16" t="n">
        <v>108</v>
      </c>
      <c r="C42" s="16" t="s">
        <v>8</v>
      </c>
      <c r="D42" s="12" t="n">
        <v>86</v>
      </c>
      <c r="E42" s="13" t="n">
        <v>2846.89</v>
      </c>
    </row>
    <row r="43" customFormat="false" ht="18.75" hidden="false" customHeight="true" outlineLevel="0" collapsed="false">
      <c r="A43" s="5" t="s">
        <v>31</v>
      </c>
      <c r="B43" s="9" t="n">
        <v>101</v>
      </c>
      <c r="C43" s="9" t="s">
        <v>12</v>
      </c>
      <c r="D43" s="6" t="n">
        <v>244</v>
      </c>
      <c r="E43" s="7" t="n">
        <v>11696.4</v>
      </c>
    </row>
    <row r="44" customFormat="false" ht="18.75" hidden="false" customHeight="true" outlineLevel="0" collapsed="false">
      <c r="A44" s="11" t="s">
        <v>31</v>
      </c>
      <c r="B44" s="16" t="n">
        <v>104</v>
      </c>
      <c r="C44" s="16" t="s">
        <v>7</v>
      </c>
      <c r="D44" s="12" t="n">
        <v>206</v>
      </c>
      <c r="E44" s="13" t="n">
        <v>9805.4</v>
      </c>
    </row>
    <row r="45" customFormat="false" ht="18.75" hidden="false" customHeight="true" outlineLevel="0" collapsed="false">
      <c r="A45" s="5" t="s">
        <v>31</v>
      </c>
      <c r="B45" s="9" t="n">
        <v>109</v>
      </c>
      <c r="C45" s="9" t="s">
        <v>9</v>
      </c>
      <c r="D45" s="6" t="n">
        <v>104</v>
      </c>
      <c r="E45" s="7" t="n">
        <v>6374.48</v>
      </c>
    </row>
    <row r="46" customFormat="false" ht="18.75" hidden="false" customHeight="true" outlineLevel="0" collapsed="false">
      <c r="A46" s="11" t="s">
        <v>31</v>
      </c>
      <c r="B46" s="16" t="n">
        <v>111</v>
      </c>
      <c r="C46" s="16" t="s">
        <v>15</v>
      </c>
      <c r="D46" s="12" t="n">
        <v>124</v>
      </c>
      <c r="E46" s="13" t="n">
        <v>5506.94</v>
      </c>
    </row>
    <row r="47" customFormat="false" ht="18.75" hidden="false" customHeight="true" outlineLevel="0" collapsed="false">
      <c r="A47" s="5" t="s">
        <v>31</v>
      </c>
      <c r="B47" s="9" t="n">
        <v>105</v>
      </c>
      <c r="C47" s="9" t="s">
        <v>10</v>
      </c>
      <c r="D47" s="6" t="n">
        <v>68</v>
      </c>
      <c r="E47" s="7" t="n">
        <v>3246.54</v>
      </c>
    </row>
    <row r="48" customFormat="false" ht="18.75" hidden="false" customHeight="true" outlineLevel="0" collapsed="false">
      <c r="A48" s="11" t="s">
        <v>31</v>
      </c>
      <c r="B48" s="16" t="n">
        <v>102</v>
      </c>
      <c r="C48" s="16" t="s">
        <v>5</v>
      </c>
      <c r="D48" s="12" t="n">
        <v>42</v>
      </c>
      <c r="E48" s="13" t="n">
        <v>2445.84</v>
      </c>
    </row>
    <row r="49" customFormat="false" ht="18.75" hidden="false" customHeight="true" outlineLevel="0" collapsed="false">
      <c r="A49" s="5" t="s">
        <v>31</v>
      </c>
      <c r="B49" s="9" t="n">
        <v>110</v>
      </c>
      <c r="C49" s="9" t="s">
        <v>6</v>
      </c>
      <c r="D49" s="6" t="n">
        <v>56</v>
      </c>
      <c r="E49" s="7" t="n">
        <v>2367.37</v>
      </c>
    </row>
    <row r="50" customFormat="false" ht="18.75" hidden="false" customHeight="true" outlineLevel="0" collapsed="false">
      <c r="A50" s="11" t="s">
        <v>31</v>
      </c>
      <c r="B50" s="16" t="n">
        <v>106</v>
      </c>
      <c r="C50" s="16" t="s">
        <v>11</v>
      </c>
      <c r="D50" s="12" t="n">
        <v>52</v>
      </c>
      <c r="E50" s="13" t="n">
        <v>2031.31</v>
      </c>
    </row>
    <row r="51" customFormat="false" ht="18.75" hidden="false" customHeight="true" outlineLevel="0" collapsed="false">
      <c r="A51" s="5" t="s">
        <v>31</v>
      </c>
      <c r="B51" s="9" t="n">
        <v>107</v>
      </c>
      <c r="C51" s="9" t="s">
        <v>14</v>
      </c>
      <c r="D51" s="6" t="n">
        <v>36</v>
      </c>
      <c r="E51" s="7" t="n">
        <v>1750.17</v>
      </c>
    </row>
    <row r="52" customFormat="false" ht="18.75" hidden="false" customHeight="true" outlineLevel="0" collapsed="false">
      <c r="A52" s="11" t="s">
        <v>31</v>
      </c>
      <c r="B52" s="16" t="n">
        <v>103</v>
      </c>
      <c r="C52" s="16" t="s">
        <v>13</v>
      </c>
      <c r="D52" s="12" t="n">
        <v>20</v>
      </c>
      <c r="E52" s="13" t="n">
        <v>929.23</v>
      </c>
    </row>
    <row r="53" customFormat="false" ht="18.75" hidden="false" customHeight="true" outlineLevel="0" collapsed="false">
      <c r="A53" s="5" t="s">
        <v>22</v>
      </c>
      <c r="B53" s="9" t="n">
        <v>104</v>
      </c>
      <c r="C53" s="9" t="s">
        <v>7</v>
      </c>
      <c r="D53" s="6" t="n">
        <v>72</v>
      </c>
      <c r="E53" s="7" t="n">
        <v>7597.61</v>
      </c>
    </row>
    <row r="54" customFormat="false" ht="18.75" hidden="false" customHeight="true" outlineLevel="0" collapsed="false">
      <c r="A54" s="11" t="s">
        <v>22</v>
      </c>
      <c r="B54" s="16" t="n">
        <v>101</v>
      </c>
      <c r="C54" s="16" t="s">
        <v>12</v>
      </c>
      <c r="D54" s="12" t="n">
        <v>52</v>
      </c>
      <c r="E54" s="13" t="n">
        <v>6179.96</v>
      </c>
    </row>
    <row r="55" customFormat="false" ht="18.75" hidden="false" customHeight="true" outlineLevel="0" collapsed="false">
      <c r="A55" s="5" t="s">
        <v>22</v>
      </c>
      <c r="B55" s="9" t="n">
        <v>111</v>
      </c>
      <c r="C55" s="9" t="s">
        <v>15</v>
      </c>
      <c r="D55" s="6" t="n">
        <v>24</v>
      </c>
      <c r="E55" s="7" t="n">
        <v>4167.65</v>
      </c>
    </row>
    <row r="56" customFormat="false" ht="18.75" hidden="false" customHeight="true" outlineLevel="0" collapsed="false">
      <c r="A56" s="11" t="s">
        <v>22</v>
      </c>
      <c r="B56" s="16" t="n">
        <v>109</v>
      </c>
      <c r="C56" s="16" t="s">
        <v>9</v>
      </c>
      <c r="D56" s="12" t="n">
        <v>18</v>
      </c>
      <c r="E56" s="13" t="n">
        <v>2064.64</v>
      </c>
    </row>
    <row r="57" customFormat="false" ht="18.75" hidden="false" customHeight="true" outlineLevel="0" collapsed="false">
      <c r="A57" s="5" t="s">
        <v>22</v>
      </c>
      <c r="B57" s="9" t="n">
        <v>103</v>
      </c>
      <c r="C57" s="9" t="s">
        <v>13</v>
      </c>
      <c r="D57" s="6" t="n">
        <v>4</v>
      </c>
      <c r="E57" s="7" t="n">
        <v>127.74</v>
      </c>
    </row>
    <row r="58" customFormat="false" ht="18.75" hidden="false" customHeight="true" outlineLevel="0" collapsed="false">
      <c r="A58" s="11" t="s">
        <v>24</v>
      </c>
      <c r="B58" s="16" t="n">
        <v>101</v>
      </c>
      <c r="C58" s="16" t="s">
        <v>12</v>
      </c>
      <c r="D58" s="12" t="n">
        <v>2488</v>
      </c>
      <c r="E58" s="13" t="n">
        <v>103329.74</v>
      </c>
    </row>
    <row r="59" customFormat="false" ht="18.75" hidden="false" customHeight="true" outlineLevel="0" collapsed="false">
      <c r="A59" s="5" t="s">
        <v>24</v>
      </c>
      <c r="B59" s="9" t="n">
        <v>104</v>
      </c>
      <c r="C59" s="9" t="s">
        <v>7</v>
      </c>
      <c r="D59" s="6" t="n">
        <v>1898</v>
      </c>
      <c r="E59" s="7" t="n">
        <v>79100.7</v>
      </c>
    </row>
    <row r="60" customFormat="false" ht="18.75" hidden="false" customHeight="true" outlineLevel="0" collapsed="false">
      <c r="A60" s="11" t="s">
        <v>24</v>
      </c>
      <c r="B60" s="16" t="n">
        <v>109</v>
      </c>
      <c r="C60" s="16" t="s">
        <v>9</v>
      </c>
      <c r="D60" s="12" t="n">
        <v>810</v>
      </c>
      <c r="E60" s="13" t="n">
        <v>27162.7</v>
      </c>
    </row>
    <row r="61" customFormat="false" ht="18.75" hidden="false" customHeight="true" outlineLevel="0" collapsed="false">
      <c r="A61" s="5" t="s">
        <v>24</v>
      </c>
      <c r="B61" s="9" t="n">
        <v>111</v>
      </c>
      <c r="C61" s="9" t="s">
        <v>15</v>
      </c>
      <c r="D61" s="6" t="n">
        <v>504</v>
      </c>
      <c r="E61" s="7" t="n">
        <v>24619.06</v>
      </c>
    </row>
    <row r="62" customFormat="false" ht="18.75" hidden="false" customHeight="true" outlineLevel="0" collapsed="false">
      <c r="A62" s="11" t="s">
        <v>24</v>
      </c>
      <c r="B62" s="16" t="n">
        <v>103</v>
      </c>
      <c r="C62" s="16" t="s">
        <v>13</v>
      </c>
      <c r="D62" s="12" t="n">
        <v>404</v>
      </c>
      <c r="E62" s="13" t="n">
        <v>17759.65</v>
      </c>
    </row>
    <row r="63" customFormat="false" ht="18.75" hidden="false" customHeight="true" outlineLevel="0" collapsed="false">
      <c r="A63" s="5" t="s">
        <v>24</v>
      </c>
      <c r="B63" s="9" t="n">
        <v>106</v>
      </c>
      <c r="C63" s="9" t="s">
        <v>11</v>
      </c>
      <c r="D63" s="6" t="n">
        <v>394</v>
      </c>
      <c r="E63" s="7" t="n">
        <v>15114.38</v>
      </c>
    </row>
    <row r="64" customFormat="false" ht="18.75" hidden="false" customHeight="true" outlineLevel="0" collapsed="false">
      <c r="A64" s="11" t="s">
        <v>24</v>
      </c>
      <c r="B64" s="16" t="n">
        <v>110</v>
      </c>
      <c r="C64" s="16" t="s">
        <v>6</v>
      </c>
      <c r="D64" s="12" t="n">
        <v>144</v>
      </c>
      <c r="E64" s="13" t="n">
        <v>10368.47</v>
      </c>
    </row>
    <row r="65" customFormat="false" ht="18.75" hidden="false" customHeight="true" outlineLevel="0" collapsed="false">
      <c r="A65" s="5" t="s">
        <v>24</v>
      </c>
      <c r="B65" s="9" t="n">
        <v>105</v>
      </c>
      <c r="C65" s="9" t="s">
        <v>10</v>
      </c>
      <c r="D65" s="6" t="n">
        <v>158</v>
      </c>
      <c r="E65" s="7" t="n">
        <v>9986.68</v>
      </c>
    </row>
    <row r="66" customFormat="false" ht="18.75" hidden="false" customHeight="true" outlineLevel="0" collapsed="false">
      <c r="A66" s="11" t="s">
        <v>24</v>
      </c>
      <c r="B66" s="16" t="n">
        <v>107</v>
      </c>
      <c r="C66" s="16" t="s">
        <v>14</v>
      </c>
      <c r="D66" s="12" t="n">
        <v>202</v>
      </c>
      <c r="E66" s="13" t="n">
        <v>9390.85</v>
      </c>
    </row>
    <row r="67" customFormat="false" ht="18.75" hidden="false" customHeight="true" outlineLevel="0" collapsed="false">
      <c r="A67" s="5" t="s">
        <v>24</v>
      </c>
      <c r="B67" s="9" t="n">
        <v>102</v>
      </c>
      <c r="C67" s="9" t="s">
        <v>5</v>
      </c>
      <c r="D67" s="6" t="n">
        <v>154</v>
      </c>
      <c r="E67" s="7" t="n">
        <v>4368.64</v>
      </c>
    </row>
    <row r="68" customFormat="false" ht="18.75" hidden="false" customHeight="true" outlineLevel="0" collapsed="false">
      <c r="A68" s="11" t="s">
        <v>29</v>
      </c>
      <c r="B68" s="16" t="n">
        <v>101</v>
      </c>
      <c r="C68" s="16" t="s">
        <v>12</v>
      </c>
      <c r="D68" s="12" t="n">
        <v>1134</v>
      </c>
      <c r="E68" s="13" t="n">
        <v>17772.8</v>
      </c>
    </row>
    <row r="69" customFormat="false" ht="18.75" hidden="false" customHeight="true" outlineLevel="0" collapsed="false">
      <c r="A69" s="5" t="s">
        <v>29</v>
      </c>
      <c r="B69" s="9" t="n">
        <v>109</v>
      </c>
      <c r="C69" s="9" t="s">
        <v>9</v>
      </c>
      <c r="D69" s="6" t="n">
        <v>688</v>
      </c>
      <c r="E69" s="7" t="n">
        <v>10518.37</v>
      </c>
    </row>
    <row r="70" customFormat="false" ht="18.75" hidden="false" customHeight="true" outlineLevel="0" collapsed="false">
      <c r="A70" s="11" t="s">
        <v>29</v>
      </c>
      <c r="B70" s="16" t="n">
        <v>104</v>
      </c>
      <c r="C70" s="16" t="s">
        <v>7</v>
      </c>
      <c r="D70" s="12" t="n">
        <v>442</v>
      </c>
      <c r="E70" s="13" t="n">
        <v>8316.52</v>
      </c>
    </row>
    <row r="71" customFormat="false" ht="18.75" hidden="false" customHeight="true" outlineLevel="0" collapsed="false">
      <c r="A71" s="5" t="s">
        <v>29</v>
      </c>
      <c r="B71" s="9" t="n">
        <v>105</v>
      </c>
      <c r="C71" s="9" t="s">
        <v>10</v>
      </c>
      <c r="D71" s="6" t="n">
        <v>500</v>
      </c>
      <c r="E71" s="7" t="n">
        <v>7447.69</v>
      </c>
    </row>
    <row r="72" customFormat="false" ht="18.75" hidden="false" customHeight="true" outlineLevel="0" collapsed="false">
      <c r="A72" s="11" t="s">
        <v>29</v>
      </c>
      <c r="B72" s="16" t="n">
        <v>111</v>
      </c>
      <c r="C72" s="16" t="s">
        <v>15</v>
      </c>
      <c r="D72" s="12" t="n">
        <v>536</v>
      </c>
      <c r="E72" s="13" t="n">
        <v>5830.52</v>
      </c>
    </row>
    <row r="73" customFormat="false" ht="18.75" hidden="false" customHeight="true" outlineLevel="0" collapsed="false">
      <c r="A73" s="5" t="s">
        <v>29</v>
      </c>
      <c r="B73" s="9" t="n">
        <v>110</v>
      </c>
      <c r="C73" s="9" t="s">
        <v>6</v>
      </c>
      <c r="D73" s="6" t="n">
        <v>286</v>
      </c>
      <c r="E73" s="7" t="n">
        <v>4254.26</v>
      </c>
    </row>
    <row r="74" customFormat="false" ht="18.75" hidden="false" customHeight="true" outlineLevel="0" collapsed="false">
      <c r="A74" s="11" t="s">
        <v>29</v>
      </c>
      <c r="B74" s="16" t="n">
        <v>102</v>
      </c>
      <c r="C74" s="16" t="s">
        <v>5</v>
      </c>
      <c r="D74" s="12" t="n">
        <v>298</v>
      </c>
      <c r="E74" s="13" t="n">
        <v>4248.54</v>
      </c>
    </row>
    <row r="75" customFormat="false" ht="18.75" hidden="false" customHeight="true" outlineLevel="0" collapsed="false">
      <c r="A75" s="5" t="s">
        <v>29</v>
      </c>
      <c r="B75" s="9" t="n">
        <v>106</v>
      </c>
      <c r="C75" s="9" t="s">
        <v>11</v>
      </c>
      <c r="D75" s="6" t="n">
        <v>220</v>
      </c>
      <c r="E75" s="7" t="n">
        <v>3347.98</v>
      </c>
    </row>
    <row r="76" customFormat="false" ht="18.75" hidden="false" customHeight="true" outlineLevel="0" collapsed="false">
      <c r="A76" s="11" t="s">
        <v>29</v>
      </c>
      <c r="B76" s="16" t="n">
        <v>107</v>
      </c>
      <c r="C76" s="16" t="s">
        <v>14</v>
      </c>
      <c r="D76" s="12" t="n">
        <v>238</v>
      </c>
      <c r="E76" s="13" t="n">
        <v>3152.13</v>
      </c>
    </row>
    <row r="77" customFormat="false" ht="18.75" hidden="false" customHeight="true" outlineLevel="0" collapsed="false">
      <c r="A77" s="5" t="s">
        <v>29</v>
      </c>
      <c r="B77" s="9" t="n">
        <v>108</v>
      </c>
      <c r="C77" s="9" t="s">
        <v>8</v>
      </c>
      <c r="D77" s="6" t="n">
        <v>196</v>
      </c>
      <c r="E77" s="7" t="n">
        <v>2536.01</v>
      </c>
    </row>
    <row r="78" customFormat="false" ht="18.75" hidden="false" customHeight="true" outlineLevel="0" collapsed="false">
      <c r="A78" s="11" t="s">
        <v>29</v>
      </c>
      <c r="B78" s="16" t="n">
        <v>103</v>
      </c>
      <c r="C78" s="16" t="s">
        <v>13</v>
      </c>
      <c r="D78" s="12" t="n">
        <v>120</v>
      </c>
      <c r="E78" s="13" t="n">
        <v>1528.83</v>
      </c>
    </row>
    <row r="79" customFormat="false" ht="18.75" hidden="false" customHeight="true" outlineLevel="0" collapsed="false">
      <c r="A79" s="5" t="s">
        <v>32</v>
      </c>
      <c r="B79" s="9" t="n">
        <v>111</v>
      </c>
      <c r="C79" s="9" t="s">
        <v>15</v>
      </c>
      <c r="D79" s="6" t="n">
        <v>120</v>
      </c>
      <c r="E79" s="7" t="n">
        <v>7967.77</v>
      </c>
    </row>
    <row r="80" customFormat="false" ht="18.75" hidden="false" customHeight="true" outlineLevel="0" collapsed="false">
      <c r="A80" s="11" t="s">
        <v>32</v>
      </c>
      <c r="B80" s="16" t="n">
        <v>101</v>
      </c>
      <c r="C80" s="16" t="s">
        <v>12</v>
      </c>
      <c r="D80" s="12" t="n">
        <v>86</v>
      </c>
      <c r="E80" s="13" t="n">
        <v>6443.52</v>
      </c>
    </row>
    <row r="81" customFormat="false" ht="18.75" hidden="false" customHeight="true" outlineLevel="0" collapsed="false">
      <c r="A81" s="5" t="s">
        <v>32</v>
      </c>
      <c r="B81" s="9" t="n">
        <v>104</v>
      </c>
      <c r="C81" s="9" t="s">
        <v>7</v>
      </c>
      <c r="D81" s="6" t="n">
        <v>88</v>
      </c>
      <c r="E81" s="7" t="n">
        <v>5813.84</v>
      </c>
    </row>
    <row r="82" customFormat="false" ht="18.75" hidden="false" customHeight="true" outlineLevel="0" collapsed="false">
      <c r="A82" s="11" t="s">
        <v>32</v>
      </c>
      <c r="B82" s="16" t="n">
        <v>109</v>
      </c>
      <c r="C82" s="16" t="s">
        <v>9</v>
      </c>
      <c r="D82" s="12" t="n">
        <v>52</v>
      </c>
      <c r="E82" s="13" t="n">
        <v>3773.77</v>
      </c>
    </row>
    <row r="83" customFormat="false" ht="18.75" hidden="false" customHeight="true" outlineLevel="0" collapsed="false">
      <c r="A83" s="5" t="s">
        <v>32</v>
      </c>
      <c r="B83" s="9" t="n">
        <v>103</v>
      </c>
      <c r="C83" s="9" t="s">
        <v>13</v>
      </c>
      <c r="D83" s="6" t="n">
        <v>22</v>
      </c>
      <c r="E83" s="7" t="n">
        <v>1533.22</v>
      </c>
    </row>
    <row r="84" customFormat="false" ht="18.75" hidden="false" customHeight="true" outlineLevel="0" collapsed="false">
      <c r="A84" s="11" t="s">
        <v>32</v>
      </c>
      <c r="B84" s="16" t="n">
        <v>105</v>
      </c>
      <c r="C84" s="16" t="s">
        <v>10</v>
      </c>
      <c r="D84" s="12" t="n">
        <v>12</v>
      </c>
      <c r="E84" s="13" t="n">
        <v>589.67</v>
      </c>
    </row>
    <row r="85" customFormat="false" ht="18.75" hidden="false" customHeight="true" outlineLevel="0" collapsed="false">
      <c r="A85" s="5" t="s">
        <v>20</v>
      </c>
      <c r="B85" s="9" t="n">
        <v>104</v>
      </c>
      <c r="C85" s="9" t="s">
        <v>7</v>
      </c>
      <c r="D85" s="6" t="n">
        <v>128</v>
      </c>
      <c r="E85" s="7" t="n">
        <v>6397.96</v>
      </c>
    </row>
    <row r="86" customFormat="false" ht="18.75" hidden="false" customHeight="true" outlineLevel="0" collapsed="false">
      <c r="A86" s="11" t="s">
        <v>20</v>
      </c>
      <c r="B86" s="16" t="n">
        <v>101</v>
      </c>
      <c r="C86" s="16" t="s">
        <v>12</v>
      </c>
      <c r="D86" s="12" t="n">
        <v>158</v>
      </c>
      <c r="E86" s="13" t="n">
        <v>5968.05</v>
      </c>
    </row>
    <row r="87" customFormat="false" ht="18.75" hidden="false" customHeight="true" outlineLevel="0" collapsed="false">
      <c r="A87" s="5" t="s">
        <v>20</v>
      </c>
      <c r="B87" s="9" t="n">
        <v>109</v>
      </c>
      <c r="C87" s="9" t="s">
        <v>9</v>
      </c>
      <c r="D87" s="6" t="n">
        <v>2</v>
      </c>
      <c r="E87" s="7" t="n">
        <v>89.47</v>
      </c>
    </row>
    <row r="88" customFormat="false" ht="18.75" hidden="false" customHeight="true" outlineLevel="0" collapsed="false">
      <c r="A88" s="11" t="s">
        <v>21</v>
      </c>
      <c r="B88" s="16" t="n">
        <v>101</v>
      </c>
      <c r="C88" s="16" t="s">
        <v>12</v>
      </c>
      <c r="D88" s="12" t="n">
        <v>148</v>
      </c>
      <c r="E88" s="13" t="n">
        <v>2351.9</v>
      </c>
    </row>
    <row r="89" customFormat="false" ht="18.75" hidden="false" customHeight="true" outlineLevel="0" collapsed="false">
      <c r="A89" s="5" t="s">
        <v>21</v>
      </c>
      <c r="B89" s="9" t="n">
        <v>104</v>
      </c>
      <c r="C89" s="9" t="s">
        <v>7</v>
      </c>
      <c r="D89" s="6" t="n">
        <v>84</v>
      </c>
      <c r="E89" s="7" t="n">
        <v>1260.63</v>
      </c>
    </row>
    <row r="90" customFormat="false" ht="18.75" hidden="false" customHeight="true" outlineLevel="0" collapsed="false">
      <c r="A90" s="11" t="s">
        <v>21</v>
      </c>
      <c r="B90" s="16" t="n">
        <v>109</v>
      </c>
      <c r="C90" s="16" t="s">
        <v>9</v>
      </c>
      <c r="D90" s="12" t="n">
        <v>42</v>
      </c>
      <c r="E90" s="13" t="n">
        <v>1183.99</v>
      </c>
    </row>
    <row r="91" customFormat="false" ht="18.75" hidden="false" customHeight="true" outlineLevel="0" collapsed="false">
      <c r="A91" s="5" t="s">
        <v>21</v>
      </c>
      <c r="B91" s="9" t="n">
        <v>110</v>
      </c>
      <c r="C91" s="9" t="s">
        <v>6</v>
      </c>
      <c r="D91" s="6" t="n">
        <v>60</v>
      </c>
      <c r="E91" s="7" t="n">
        <v>920.33</v>
      </c>
    </row>
    <row r="92" customFormat="false" ht="18.75" hidden="false" customHeight="true" outlineLevel="0" collapsed="false">
      <c r="A92" s="11" t="s">
        <v>21</v>
      </c>
      <c r="B92" s="16" t="n">
        <v>107</v>
      </c>
      <c r="C92" s="16" t="s">
        <v>14</v>
      </c>
      <c r="D92" s="12" t="n">
        <v>40</v>
      </c>
      <c r="E92" s="13" t="n">
        <v>888.47</v>
      </c>
    </row>
    <row r="93" customFormat="false" ht="18.75" hidden="false" customHeight="true" outlineLevel="0" collapsed="false">
      <c r="A93" s="5" t="s">
        <v>21</v>
      </c>
      <c r="B93" s="9" t="n">
        <v>105</v>
      </c>
      <c r="C93" s="9" t="s">
        <v>10</v>
      </c>
      <c r="D93" s="6" t="n">
        <v>58</v>
      </c>
      <c r="E93" s="7" t="n">
        <v>790.21</v>
      </c>
    </row>
    <row r="94" customFormat="false" ht="18.75" hidden="false" customHeight="true" outlineLevel="0" collapsed="false">
      <c r="A94" s="11" t="s">
        <v>21</v>
      </c>
      <c r="B94" s="16" t="n">
        <v>106</v>
      </c>
      <c r="C94" s="16" t="s">
        <v>11</v>
      </c>
      <c r="D94" s="12" t="n">
        <v>28</v>
      </c>
      <c r="E94" s="13" t="n">
        <v>581.89</v>
      </c>
    </row>
    <row r="95" customFormat="false" ht="18.75" hidden="false" customHeight="true" outlineLevel="0" collapsed="false">
      <c r="A95" s="5" t="s">
        <v>21</v>
      </c>
      <c r="B95" s="9" t="n">
        <v>103</v>
      </c>
      <c r="C95" s="9" t="s">
        <v>13</v>
      </c>
      <c r="D95" s="6" t="n">
        <v>24</v>
      </c>
      <c r="E95" s="7" t="n">
        <v>413.85</v>
      </c>
    </row>
    <row r="96" customFormat="false" ht="18.75" hidden="false" customHeight="true" outlineLevel="0" collapsed="false">
      <c r="A96" s="11" t="s">
        <v>21</v>
      </c>
      <c r="B96" s="16" t="n">
        <v>108</v>
      </c>
      <c r="C96" s="16" t="s">
        <v>8</v>
      </c>
      <c r="D96" s="12" t="n">
        <v>20</v>
      </c>
      <c r="E96" s="13" t="n">
        <v>344.14</v>
      </c>
    </row>
    <row r="97" customFormat="false" ht="18.75" hidden="false" customHeight="true" outlineLevel="0" collapsed="false">
      <c r="A97" s="5" t="s">
        <v>21</v>
      </c>
      <c r="B97" s="9" t="n">
        <v>102</v>
      </c>
      <c r="C97" s="9" t="s">
        <v>5</v>
      </c>
      <c r="D97" s="6" t="n">
        <v>30</v>
      </c>
      <c r="E97" s="7" t="n">
        <v>325.25</v>
      </c>
    </row>
    <row r="98" customFormat="false" ht="18.75" hidden="false" customHeight="true" outlineLevel="0" collapsed="false">
      <c r="A98" s="11" t="s">
        <v>21</v>
      </c>
      <c r="B98" s="16" t="n">
        <v>111</v>
      </c>
      <c r="C98" s="16" t="s">
        <v>15</v>
      </c>
      <c r="D98" s="12" t="n">
        <v>2</v>
      </c>
      <c r="E98" s="13" t="n">
        <v>12.72</v>
      </c>
    </row>
    <row r="99" customFormat="false" ht="18.75" hidden="false" customHeight="true" outlineLevel="0" collapsed="false">
      <c r="A99" s="5" t="s">
        <v>25</v>
      </c>
      <c r="B99" s="9" t="n">
        <v>101</v>
      </c>
      <c r="C99" s="9" t="s">
        <v>12</v>
      </c>
      <c r="D99" s="6" t="n">
        <v>2</v>
      </c>
      <c r="E99" s="7" t="n">
        <v>383.87</v>
      </c>
    </row>
    <row r="100" customFormat="false" ht="18.75" hidden="false" customHeight="true" outlineLevel="0" collapsed="false">
      <c r="A100" s="11" t="s">
        <v>27</v>
      </c>
      <c r="B100" s="16" t="n">
        <v>101</v>
      </c>
      <c r="C100" s="16" t="s">
        <v>12</v>
      </c>
      <c r="D100" s="12" t="n">
        <v>534</v>
      </c>
      <c r="E100" s="13" t="n">
        <v>11394.21</v>
      </c>
    </row>
    <row r="101" customFormat="false" ht="18.75" hidden="false" customHeight="true" outlineLevel="0" collapsed="false">
      <c r="A101" s="5" t="s">
        <v>27</v>
      </c>
      <c r="B101" s="9" t="n">
        <v>104</v>
      </c>
      <c r="C101" s="9" t="s">
        <v>7</v>
      </c>
      <c r="D101" s="6" t="n">
        <v>324</v>
      </c>
      <c r="E101" s="7" t="n">
        <v>8107.05</v>
      </c>
    </row>
    <row r="102" customFormat="false" ht="18.75" hidden="false" customHeight="true" outlineLevel="0" collapsed="false">
      <c r="A102" s="11" t="s">
        <v>27</v>
      </c>
      <c r="B102" s="16" t="n">
        <v>109</v>
      </c>
      <c r="C102" s="16" t="s">
        <v>9</v>
      </c>
      <c r="D102" s="12" t="n">
        <v>276</v>
      </c>
      <c r="E102" s="13" t="n">
        <v>5885.77</v>
      </c>
    </row>
    <row r="103" customFormat="false" ht="18.75" hidden="false" customHeight="true" outlineLevel="0" collapsed="false">
      <c r="A103" s="5" t="s">
        <v>27</v>
      </c>
      <c r="B103" s="9" t="n">
        <v>102</v>
      </c>
      <c r="C103" s="9" t="s">
        <v>5</v>
      </c>
      <c r="D103" s="6" t="n">
        <v>224</v>
      </c>
      <c r="E103" s="7" t="n">
        <v>5095.62</v>
      </c>
    </row>
    <row r="104" customFormat="false" ht="18.75" hidden="false" customHeight="true" outlineLevel="0" collapsed="false">
      <c r="A104" s="11" t="s">
        <v>27</v>
      </c>
      <c r="B104" s="16" t="n">
        <v>105</v>
      </c>
      <c r="C104" s="16" t="s">
        <v>10</v>
      </c>
      <c r="D104" s="12" t="n">
        <v>246</v>
      </c>
      <c r="E104" s="13" t="n">
        <v>4700.81</v>
      </c>
    </row>
    <row r="105" customFormat="false" ht="18.75" hidden="false" customHeight="true" outlineLevel="0" collapsed="false">
      <c r="A105" s="5" t="s">
        <v>27</v>
      </c>
      <c r="B105" s="9" t="n">
        <v>110</v>
      </c>
      <c r="C105" s="9" t="s">
        <v>6</v>
      </c>
      <c r="D105" s="6" t="n">
        <v>204</v>
      </c>
      <c r="E105" s="7" t="n">
        <v>4120.13</v>
      </c>
    </row>
    <row r="106" customFormat="false" ht="18.75" hidden="false" customHeight="true" outlineLevel="0" collapsed="false">
      <c r="A106" s="11" t="s">
        <v>27</v>
      </c>
      <c r="B106" s="16" t="n">
        <v>111</v>
      </c>
      <c r="C106" s="16" t="s">
        <v>15</v>
      </c>
      <c r="D106" s="12" t="n">
        <v>194</v>
      </c>
      <c r="E106" s="13" t="n">
        <v>3619.88</v>
      </c>
    </row>
    <row r="107" customFormat="false" ht="18.75" hidden="false" customHeight="true" outlineLevel="0" collapsed="false">
      <c r="A107" s="5" t="s">
        <v>27</v>
      </c>
      <c r="B107" s="9" t="n">
        <v>107</v>
      </c>
      <c r="C107" s="9" t="s">
        <v>14</v>
      </c>
      <c r="D107" s="6" t="n">
        <v>180</v>
      </c>
      <c r="E107" s="7" t="n">
        <v>3449.87</v>
      </c>
    </row>
    <row r="108" customFormat="false" ht="18.75" hidden="false" customHeight="true" outlineLevel="0" collapsed="false">
      <c r="A108" s="11" t="s">
        <v>27</v>
      </c>
      <c r="B108" s="16" t="n">
        <v>103</v>
      </c>
      <c r="C108" s="16" t="s">
        <v>13</v>
      </c>
      <c r="D108" s="12" t="n">
        <v>122</v>
      </c>
      <c r="E108" s="13" t="n">
        <v>2244.79</v>
      </c>
    </row>
    <row r="109" customFormat="false" ht="18.75" hidden="false" customHeight="true" outlineLevel="0" collapsed="false">
      <c r="A109" s="5" t="s">
        <v>27</v>
      </c>
      <c r="B109" s="9" t="n">
        <v>106</v>
      </c>
      <c r="C109" s="9" t="s">
        <v>11</v>
      </c>
      <c r="D109" s="6" t="n">
        <v>92</v>
      </c>
      <c r="E109" s="7" t="n">
        <v>1735.32</v>
      </c>
    </row>
    <row r="110" customFormat="false" ht="18.75" hidden="false" customHeight="true" outlineLevel="0" collapsed="false">
      <c r="A110" s="11" t="s">
        <v>30</v>
      </c>
      <c r="B110" s="16" t="n">
        <v>111</v>
      </c>
      <c r="C110" s="16" t="s">
        <v>15</v>
      </c>
      <c r="D110" s="12" t="n">
        <v>82</v>
      </c>
      <c r="E110" s="13" t="n">
        <v>4698.46</v>
      </c>
    </row>
    <row r="111" customFormat="false" ht="18.75" hidden="false" customHeight="true" outlineLevel="0" collapsed="false">
      <c r="A111" s="5" t="s">
        <v>30</v>
      </c>
      <c r="B111" s="9" t="n">
        <v>101</v>
      </c>
      <c r="C111" s="9" t="s">
        <v>12</v>
      </c>
      <c r="D111" s="6" t="n">
        <v>34</v>
      </c>
      <c r="E111" s="7" t="n">
        <v>2160.38</v>
      </c>
    </row>
    <row r="112" customFormat="false" ht="18.75" hidden="false" customHeight="true" outlineLevel="0" collapsed="false">
      <c r="A112" s="11" t="s">
        <v>30</v>
      </c>
      <c r="B112" s="16" t="n">
        <v>104</v>
      </c>
      <c r="C112" s="16" t="s">
        <v>7</v>
      </c>
      <c r="D112" s="12" t="n">
        <v>24</v>
      </c>
      <c r="E112" s="13" t="n">
        <v>1096.96</v>
      </c>
    </row>
    <row r="113" customFormat="false" ht="18.75" hidden="false" customHeight="true" outlineLevel="0" collapsed="false">
      <c r="A113" s="5" t="s">
        <v>30</v>
      </c>
      <c r="B113" s="9" t="n">
        <v>109</v>
      </c>
      <c r="C113" s="9" t="s">
        <v>9</v>
      </c>
      <c r="D113" s="6" t="n">
        <v>8</v>
      </c>
      <c r="E113" s="7" t="n">
        <v>464.52</v>
      </c>
    </row>
    <row r="114" customFormat="false" ht="18.75" hidden="false" customHeight="true" outlineLevel="0" collapsed="false">
      <c r="A114" s="11" t="s">
        <v>30</v>
      </c>
      <c r="B114" s="16" t="n">
        <v>110</v>
      </c>
      <c r="C114" s="16" t="s">
        <v>6</v>
      </c>
      <c r="D114" s="12" t="n">
        <v>6</v>
      </c>
      <c r="E114" s="13" t="n">
        <v>431.03</v>
      </c>
    </row>
    <row r="115" customFormat="false" ht="18.75" hidden="false" customHeight="true" outlineLevel="0" collapsed="false">
      <c r="A115" s="5" t="s">
        <v>26</v>
      </c>
      <c r="B115" s="9" t="n">
        <v>101</v>
      </c>
      <c r="C115" s="9" t="s">
        <v>12</v>
      </c>
      <c r="D115" s="6" t="n">
        <v>1538</v>
      </c>
      <c r="E115" s="7" t="n">
        <v>63771.72</v>
      </c>
    </row>
    <row r="116" customFormat="false" ht="18.75" hidden="false" customHeight="true" outlineLevel="0" collapsed="false">
      <c r="A116" s="11" t="s">
        <v>26</v>
      </c>
      <c r="B116" s="16" t="n">
        <v>104</v>
      </c>
      <c r="C116" s="16" t="s">
        <v>7</v>
      </c>
      <c r="D116" s="12" t="n">
        <v>958</v>
      </c>
      <c r="E116" s="13" t="n">
        <v>37593.57</v>
      </c>
    </row>
    <row r="117" customFormat="false" ht="18.75" hidden="false" customHeight="true" outlineLevel="0" collapsed="false">
      <c r="A117" s="5" t="s">
        <v>26</v>
      </c>
      <c r="B117" s="9" t="n">
        <v>109</v>
      </c>
      <c r="C117" s="9" t="s">
        <v>9</v>
      </c>
      <c r="D117" s="6" t="n">
        <v>740</v>
      </c>
      <c r="E117" s="7" t="n">
        <v>27945.2</v>
      </c>
    </row>
    <row r="118" customFormat="false" ht="18.75" hidden="false" customHeight="true" outlineLevel="0" collapsed="false">
      <c r="A118" s="11" t="s">
        <v>26</v>
      </c>
      <c r="B118" s="16" t="n">
        <v>111</v>
      </c>
      <c r="C118" s="16" t="s">
        <v>15</v>
      </c>
      <c r="D118" s="12" t="n">
        <v>418</v>
      </c>
      <c r="E118" s="13" t="n">
        <v>18571.96</v>
      </c>
    </row>
    <row r="119" customFormat="false" ht="18.75" hidden="false" customHeight="true" outlineLevel="0" collapsed="false">
      <c r="A119" s="5" t="s">
        <v>26</v>
      </c>
      <c r="B119" s="9" t="n">
        <v>102</v>
      </c>
      <c r="C119" s="9" t="s">
        <v>5</v>
      </c>
      <c r="D119" s="6" t="n">
        <v>434</v>
      </c>
      <c r="E119" s="7" t="n">
        <v>16749.29</v>
      </c>
    </row>
    <row r="120" customFormat="false" ht="18.75" hidden="false" customHeight="true" outlineLevel="0" collapsed="false">
      <c r="A120" s="11" t="s">
        <v>26</v>
      </c>
      <c r="B120" s="16" t="n">
        <v>106</v>
      </c>
      <c r="C120" s="16" t="s">
        <v>11</v>
      </c>
      <c r="D120" s="12" t="n">
        <v>378</v>
      </c>
      <c r="E120" s="13" t="n">
        <v>15852.47</v>
      </c>
    </row>
    <row r="121" customFormat="false" ht="18.75" hidden="false" customHeight="true" outlineLevel="0" collapsed="false">
      <c r="A121" s="5" t="s">
        <v>26</v>
      </c>
      <c r="B121" s="9" t="n">
        <v>103</v>
      </c>
      <c r="C121" s="9" t="s">
        <v>13</v>
      </c>
      <c r="D121" s="6" t="n">
        <v>270</v>
      </c>
      <c r="E121" s="7" t="n">
        <v>13001.87</v>
      </c>
    </row>
    <row r="122" customFormat="false" ht="18.75" hidden="false" customHeight="true" outlineLevel="0" collapsed="false">
      <c r="A122" s="11" t="s">
        <v>26</v>
      </c>
      <c r="B122" s="16" t="n">
        <v>105</v>
      </c>
      <c r="C122" s="16" t="s">
        <v>10</v>
      </c>
      <c r="D122" s="12" t="n">
        <v>274</v>
      </c>
      <c r="E122" s="13" t="n">
        <v>12676.77</v>
      </c>
    </row>
    <row r="123" customFormat="false" ht="18.75" hidden="false" customHeight="true" outlineLevel="0" collapsed="false">
      <c r="A123" s="5" t="s">
        <v>26</v>
      </c>
      <c r="B123" s="9" t="n">
        <v>107</v>
      </c>
      <c r="C123" s="9" t="s">
        <v>14</v>
      </c>
      <c r="D123" s="6" t="n">
        <v>296</v>
      </c>
      <c r="E123" s="7" t="n">
        <v>11694.17</v>
      </c>
    </row>
    <row r="124" customFormat="false" ht="18.75" hidden="false" customHeight="true" outlineLevel="0" collapsed="false">
      <c r="A124" s="11" t="s">
        <v>26</v>
      </c>
      <c r="B124" s="16" t="n">
        <v>110</v>
      </c>
      <c r="C124" s="16" t="s">
        <v>6</v>
      </c>
      <c r="D124" s="12" t="n">
        <v>244</v>
      </c>
      <c r="E124" s="13" t="n">
        <v>11501.64</v>
      </c>
    </row>
    <row r="125" customFormat="false" ht="18.75" hidden="false" customHeight="true" outlineLevel="0" collapsed="false">
      <c r="A125" s="5" t="s">
        <v>26</v>
      </c>
      <c r="B125" s="9" t="n">
        <v>108</v>
      </c>
      <c r="C125" s="9" t="s">
        <v>8</v>
      </c>
      <c r="D125" s="6" t="n">
        <v>44</v>
      </c>
      <c r="E125" s="7" t="n">
        <v>3656.23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2"/>
  </cols>
  <sheetData>
    <row r="1" customFormat="false" ht="21.75" hidden="false" customHeight="true" outlineLevel="0" collapsed="false">
      <c r="A1" s="4" t="s">
        <v>53</v>
      </c>
      <c r="B1" s="2" t="s">
        <v>56</v>
      </c>
      <c r="C1" s="4" t="s">
        <v>35</v>
      </c>
    </row>
    <row r="2" customFormat="false" ht="19.5" hidden="false" customHeight="true" outlineLevel="0" collapsed="false">
      <c r="A2" s="16" t="n">
        <v>101</v>
      </c>
      <c r="B2" s="11" t="s">
        <v>57</v>
      </c>
      <c r="C2" s="16" t="s">
        <v>12</v>
      </c>
    </row>
    <row r="3" customFormat="false" ht="19.5" hidden="false" customHeight="true" outlineLevel="0" collapsed="false">
      <c r="A3" s="9" t="n">
        <v>102</v>
      </c>
      <c r="B3" s="5" t="s">
        <v>58</v>
      </c>
      <c r="C3" s="9" t="s">
        <v>5</v>
      </c>
    </row>
    <row r="4" customFormat="false" ht="19.5" hidden="false" customHeight="true" outlineLevel="0" collapsed="false">
      <c r="A4" s="16" t="n">
        <v>103</v>
      </c>
      <c r="B4" s="11" t="s">
        <v>59</v>
      </c>
      <c r="C4" s="16" t="s">
        <v>13</v>
      </c>
    </row>
    <row r="5" customFormat="false" ht="19.5" hidden="false" customHeight="true" outlineLevel="0" collapsed="false">
      <c r="A5" s="9" t="n">
        <v>104</v>
      </c>
      <c r="B5" s="5" t="s">
        <v>60</v>
      </c>
      <c r="C5" s="9" t="s">
        <v>7</v>
      </c>
    </row>
    <row r="6" customFormat="false" ht="19.5" hidden="false" customHeight="true" outlineLevel="0" collapsed="false">
      <c r="A6" s="16" t="n">
        <v>105</v>
      </c>
      <c r="B6" s="11" t="s">
        <v>61</v>
      </c>
      <c r="C6" s="16" t="s">
        <v>10</v>
      </c>
    </row>
    <row r="7" customFormat="false" ht="19.5" hidden="false" customHeight="true" outlineLevel="0" collapsed="false">
      <c r="A7" s="9" t="n">
        <v>106</v>
      </c>
      <c r="B7" s="5" t="s">
        <v>62</v>
      </c>
      <c r="C7" s="9" t="s">
        <v>11</v>
      </c>
    </row>
    <row r="8" customFormat="false" ht="19.5" hidden="false" customHeight="true" outlineLevel="0" collapsed="false">
      <c r="A8" s="16" t="n">
        <v>107</v>
      </c>
      <c r="B8" s="11" t="s">
        <v>63</v>
      </c>
      <c r="C8" s="16" t="s">
        <v>14</v>
      </c>
    </row>
    <row r="9" customFormat="false" ht="19.5" hidden="false" customHeight="true" outlineLevel="0" collapsed="false">
      <c r="A9" s="9" t="n">
        <v>108</v>
      </c>
      <c r="B9" s="5" t="s">
        <v>64</v>
      </c>
      <c r="C9" s="9" t="s">
        <v>8</v>
      </c>
    </row>
    <row r="10" customFormat="false" ht="19.5" hidden="false" customHeight="true" outlineLevel="0" collapsed="false">
      <c r="A10" s="16" t="n">
        <v>109</v>
      </c>
      <c r="B10" s="11" t="s">
        <v>65</v>
      </c>
      <c r="C10" s="16" t="s">
        <v>9</v>
      </c>
    </row>
    <row r="11" customFormat="false" ht="19.5" hidden="false" customHeight="true" outlineLevel="0" collapsed="false">
      <c r="A11" s="9" t="n">
        <v>110</v>
      </c>
      <c r="B11" s="5" t="s">
        <v>66</v>
      </c>
      <c r="C11" s="9" t="s">
        <v>6</v>
      </c>
    </row>
    <row r="12" customFormat="false" ht="19.5" hidden="false" customHeight="true" outlineLevel="0" collapsed="false">
      <c r="A12" s="16" t="n">
        <v>111</v>
      </c>
      <c r="B12" s="11" t="s">
        <v>67</v>
      </c>
      <c r="C12" s="1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2026-10-27T16:49:33Z</dcterms:created>
  <dc:creator>openpyxl</dc:creator>
  <dc:description/>
  <dc:language>en-US</dc:language>
  <cp:lastModifiedBy/>
  <dcterms:modified xsi:type="dcterms:W3CDTF">2026-10-27T16:49:33Z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